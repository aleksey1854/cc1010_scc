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filterPrivacy="1"/>
  <xr:revisionPtr revIDLastSave="0" documentId="8_{F0E68EB4-3A2D-4875-AEDF-DA55FE546919}" xr6:coauthVersionLast="36" xr6:coauthVersionMax="36" xr10:uidLastSave="{00000000-0000-0000-0000-000000000000}"/>
  <bookViews>
    <workbookView xWindow="0" yWindow="0" windowWidth="17040" windowHeight="7520" xr2:uid="{00000000-000D-0000-FFFF-FFFF00000000}"/>
  </bookViews>
  <sheets>
    <sheet name="Чек-лист макет" sheetId="1" r:id="rId1"/>
    <sheet name="Легенда" sheetId="2" r:id="rId2"/>
  </sheets>
  <externalReferences>
    <externalReference r:id="rId3"/>
  </externalReferences>
  <definedNames>
    <definedName name="Критерий_выборки">[1]Легенда!$A$2:$A$9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D4" i="1"/>
  <c r="D41" i="1"/>
  <c r="D7" i="1"/>
  <c r="B7" i="1" s="1"/>
  <c r="D13" i="1" l="1"/>
  <c r="D10" i="1"/>
  <c r="D11" i="1"/>
  <c r="D12" i="1"/>
  <c r="D14" i="1"/>
  <c r="D9" i="1"/>
  <c r="D6" i="1"/>
  <c r="D5" i="1"/>
  <c r="D19" i="1"/>
  <c r="D17" i="1" l="1"/>
  <c r="D16" i="1"/>
  <c r="D23" i="1"/>
  <c r="D22" i="1"/>
  <c r="D21" i="1"/>
  <c r="D45" i="1" l="1"/>
  <c r="C17" i="1"/>
  <c r="C16" i="1"/>
  <c r="C22" i="1"/>
  <c r="C23" i="1"/>
  <c r="C21" i="1"/>
  <c r="C25" i="1"/>
  <c r="D44" i="1"/>
  <c r="D28" i="1"/>
  <c r="D29" i="1"/>
  <c r="D30" i="1"/>
  <c r="D31" i="1"/>
  <c r="D25" i="1"/>
  <c r="B23" i="1"/>
  <c r="B17" i="1"/>
  <c r="A20" i="1"/>
  <c r="D20" i="1" l="1"/>
  <c r="D15" i="1"/>
  <c r="B16" i="1"/>
  <c r="B15" i="1" s="1"/>
  <c r="C35" i="1" l="1"/>
  <c r="C34" i="1" l="1"/>
  <c r="C38" i="1"/>
  <c r="C39" i="1"/>
  <c r="C40" i="1"/>
  <c r="C37" i="1"/>
  <c r="D27" i="1" l="1"/>
  <c r="B29" i="1"/>
  <c r="B30" i="1"/>
  <c r="B31" i="1"/>
  <c r="B28" i="1"/>
  <c r="B27" i="1" l="1"/>
  <c r="D34" i="1" l="1"/>
  <c r="D33" i="1"/>
  <c r="D40" i="1"/>
  <c r="D39" i="1"/>
  <c r="B39" i="1" s="1"/>
  <c r="D38" i="1"/>
  <c r="B38" i="1" s="1"/>
  <c r="D37" i="1"/>
  <c r="B36" i="1" l="1"/>
  <c r="B32" i="1"/>
  <c r="B37" i="1"/>
  <c r="B19" i="1"/>
  <c r="B18" i="1" s="1"/>
  <c r="D46" i="1" l="1"/>
  <c r="B40" i="1" l="1"/>
  <c r="B21" i="1"/>
  <c r="B25" i="1"/>
  <c r="D26" i="1"/>
  <c r="B26" i="1" s="1"/>
  <c r="B10" i="1"/>
  <c r="B11" i="1"/>
  <c r="B13" i="1"/>
  <c r="B14" i="1"/>
  <c r="B6" i="1"/>
  <c r="B24" i="1" l="1"/>
  <c r="B5" i="1"/>
  <c r="B12" i="1"/>
  <c r="D8" i="1"/>
  <c r="B22" i="1"/>
  <c r="B20" i="1" s="1"/>
  <c r="D24" i="1"/>
  <c r="B9" i="1"/>
  <c r="D18" i="1"/>
  <c r="D42" i="1" l="1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5" authorId="0" shapeId="0" xr:uid="{EAA57E07-19AE-4FD8-BA93-BEAB70A25A7B}">
      <text>
        <r>
          <rPr>
            <b/>
            <sz val="9"/>
            <color indexed="81"/>
            <rFont val="Tahoma"/>
            <family val="2"/>
            <charset val="204"/>
          </rPr>
          <t>"Положительно"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если:
приветствие соответствует правилам телефонного обслуживания и нормам делового этикета и способствует созданию позитивного настроя у клиента.
В начале диалога рекомендовано уточнить имя Пациента. Обязательность уточнения имени Пациента определяется алгоритмом приветствия конкретной линии, но если Пациент не представился/отказался представляться оператор не должен настаивать.
</t>
        </r>
        <r>
          <rPr>
            <b/>
            <sz val="9"/>
            <color indexed="81"/>
            <rFont val="Tahoma"/>
            <family val="2"/>
            <charset val="204"/>
          </rPr>
          <t xml:space="preserve">Примечание: </t>
        </r>
        <r>
          <rPr>
            <sz val="9"/>
            <color indexed="81"/>
            <rFont val="Tahoma"/>
            <family val="2"/>
            <charset val="204"/>
          </rPr>
          <t>если</t>
        </r>
        <r>
          <rPr>
            <b/>
            <sz val="9"/>
            <color indexed="81"/>
            <rFont val="Tahoma"/>
            <family val="2"/>
            <charset val="204"/>
          </rPr>
          <t xml:space="preserve"> </t>
        </r>
        <r>
          <rPr>
            <sz val="9"/>
            <color indexed="81"/>
            <rFont val="Tahoma"/>
            <family val="2"/>
            <charset val="204"/>
          </rPr>
          <t xml:space="preserve">ОП не уточнил имя клиента сразу в приветствии, то оценку не занижаем, можно прописать замечание.
</t>
        </r>
        <r>
          <rPr>
            <b/>
            <sz val="9"/>
            <color indexed="81"/>
            <rFont val="Tahoma"/>
            <family val="2"/>
            <charset val="204"/>
          </rPr>
          <t>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выбирается, если приветствие сотрудника не соответствует действующим правилам телефонного обслуживания или отсутствуют. 
</t>
        </r>
        <r>
          <rPr>
            <b/>
            <sz val="9"/>
            <color indexed="81"/>
            <rFont val="Tahoma"/>
            <family val="2"/>
            <charset val="204"/>
          </rPr>
          <t>Важно!</t>
        </r>
        <r>
          <rPr>
            <sz val="9"/>
            <color indexed="81"/>
            <rFont val="Tahoma"/>
            <family val="2"/>
            <charset val="204"/>
          </rPr>
          <t xml:space="preserve">
Запрещается при приветствии использовать «Здравствуйте», поскольку это приветствие не соответствуют нормам телефонного этикета и несет неправильные для бизнеса установки.
</t>
        </r>
        <r>
          <rPr>
            <b/>
            <sz val="9"/>
            <color indexed="81"/>
            <rFont val="Tahoma"/>
            <family val="2"/>
            <charset val="204"/>
          </rPr>
          <t xml:space="preserve">
"Сомнительно" </t>
        </r>
        <r>
          <rPr>
            <sz val="9"/>
            <color indexed="81"/>
            <rFont val="Tahoma"/>
            <family val="2"/>
            <charset val="204"/>
          </rPr>
          <t>выбирается если приветствие отличается от скриптой фразы, но не несет в себе неправильных установок для бизнеса и соответствует правилам телефонного обслуживания и деловому этикету.</t>
        </r>
      </text>
    </comment>
    <comment ref="E6" authorId="0" shapeId="0" xr:uid="{3FCB6E3D-598E-43F0-8348-456D857741A1}">
      <text>
        <r>
          <rPr>
            <b/>
            <sz val="9"/>
            <color indexed="81"/>
            <rFont val="Tahoma"/>
            <family val="2"/>
            <charset val="204"/>
          </rPr>
          <t>"Положительно"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если:
прощание соответствует правилам телефонного обслуживания и нормам делового этикета и способствует созданию позитивного настроя у клиента.
</t>
        </r>
        <r>
          <rPr>
            <b/>
            <sz val="9"/>
            <color indexed="81"/>
            <rFont val="Tahoma"/>
            <family val="2"/>
            <charset val="204"/>
          </rPr>
          <t xml:space="preserve">Примечание: </t>
        </r>
        <r>
          <rPr>
            <sz val="9"/>
            <color indexed="81"/>
            <rFont val="Tahoma"/>
            <family val="2"/>
            <charset val="204"/>
          </rPr>
          <t xml:space="preserve">если ОП не полностью зачитал фразу прощания, озвучил только "Спасибо за обращение!" или "Всего доброго!", то в этом случае можно прописать замечание, но не занижать оценку.
</t>
        </r>
        <r>
          <rPr>
            <b/>
            <sz val="9"/>
            <color indexed="81"/>
            <rFont val="Tahoma"/>
            <family val="2"/>
            <charset val="204"/>
          </rPr>
          <t>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выбирается, если прощание сотрудника не соответствует действующим правилам телефонного обслуживания или отсутствуют. 
</t>
        </r>
        <r>
          <rPr>
            <b/>
            <sz val="9"/>
            <color indexed="81"/>
            <rFont val="Tahoma"/>
            <family val="2"/>
            <charset val="204"/>
          </rPr>
          <t>Важно!</t>
        </r>
        <r>
          <rPr>
            <sz val="9"/>
            <color indexed="81"/>
            <rFont val="Tahoma"/>
            <family val="2"/>
            <charset val="204"/>
          </rPr>
          <t xml:space="preserve">
Запрещается при прощании с Клиентом использовать «До свидания» или «Прощайте», поскольку такое прощание не соответствует нормам телефонного этикета и несет неправильные для бизнеса установки.
</t>
        </r>
        <r>
          <rPr>
            <b/>
            <sz val="9"/>
            <color indexed="81"/>
            <rFont val="Tahoma"/>
            <family val="2"/>
            <charset val="204"/>
          </rPr>
          <t xml:space="preserve">"Сомнительно" 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прощание отличается от скриптой фразы, но не несет в себе неправильных установок для бизнеса и соответствует правилам телефонного обслуживания и деловому этикету.
</t>
        </r>
      </text>
    </comment>
    <comment ref="E9" authorId="0" shapeId="0" xr:uid="{32C8E329-AFC0-4D84-9ECC-54040DEC627D}">
      <text>
        <r>
          <rPr>
            <b/>
            <sz val="9"/>
            <color indexed="81"/>
            <rFont val="Tahoma"/>
            <family val="2"/>
            <charset val="204"/>
          </rPr>
          <t>"Положительно"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если:
- в процессе диалога ОП, не перебивая Клиента, занимает активную позицию;
- «ведет»диалог: делает попытки помочь Клиенту (не ждет наводящих вопросов, а максимально полно представляет запрашиваемую информацию) старается найти оптимальное решение вопроса Клиента;
- Клиент задает конкретный вопрос, не требующий дополнительных уточнений, то оператор в первую очередь отвечает на него (сколько стоит, где выполняется, график работы МО и др.), а далее для более детальной консультации переходит к уточняющим вопросам по алгоритму;
- возвращает Клиента к сути диалога, если Клиент уходит от темы;
- в случае, если Клиент прерывает консультацию и задает уточняющий/дополнительный вопрос, оператор может в вежливой форме или предложить закончить консультацию по первому вопросу и затем приступить ко второму, или ответить на уточняющий вопрос, а затем обязательно вернуться к прерванной консультации;
- ведет диалог с Клиентом, а не монолог.
</t>
        </r>
        <r>
          <rPr>
            <b/>
            <sz val="9"/>
            <color indexed="81"/>
            <rFont val="Tahoma"/>
            <family val="2"/>
            <charset val="204"/>
          </rPr>
          <t>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если:
- если оператор в диалоге безынициативен, допускает неоправданные паузы, в результате чего Клиент вынужден сам задавать наводящие вопросы;
- если в конце диалога после ответа оператора есть пауза и непонятно остались вопросы или нет, оператор не задает вопросы «Чем еще могу помочь?», «У вас остались еще вопросы?» и т.п.
- оператор односложно отвечает на вопросы Клиента, не возвращает диалог в конструктивное русло или ведет монолог, не запрашивая у Клиента обратную связь на озвученную информацию;
- отвечает Клиенту вопросом на вопрос;
- разговор проходит в режиме монолога (как со стороны Клиента, так и со стороны оператора, когда оператор "не слышит" Клиента или не дает ему высказаться)
</t>
        </r>
        <r>
          <rPr>
            <b/>
            <sz val="9"/>
            <color indexed="81"/>
            <rFont val="Tahoma"/>
            <family val="2"/>
            <charset val="204"/>
          </rPr>
          <t xml:space="preserve">"Сомнительно" </t>
        </r>
        <r>
          <rPr>
            <sz val="9"/>
            <color indexed="81"/>
            <rFont val="Tahoma"/>
            <family val="2"/>
            <charset val="204"/>
          </rPr>
          <t>выбирается если, есть незначительные отступления от требований указанных в "Положительно", но они не режут слух Клиенту, не вызывают его недовольства и не влияют на репутацию компании.</t>
        </r>
      </text>
    </comment>
    <comment ref="E10" authorId="0" shapeId="0" xr:uid="{E552D9B6-F163-4929-8FD6-32414521FCF1}">
      <text>
        <r>
          <rPr>
            <b/>
            <sz val="9"/>
            <color indexed="81"/>
            <rFont val="Tahoma"/>
            <family val="2"/>
            <charset val="204"/>
          </rPr>
          <t>"Положительно"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выбирается, если оператор:
- слышит вопросы Клиента и отвечает по существу, предоставляя достаточно информации, для успешного получения услуги;
- предоставляет ответ на вопрос в понятной и доступной для клиента форме. При необходимости адаптирует речь под стиль разговора собеседника, сохраняя при этому культуру речи - объясняет одно понятие несколькими способами, замедляет темп речи, чтобы клиент смог воспользоваться полученной консультацией, не обращаясь в контакт-центр повторно;
- предоставляет ответ не шаблонно, при этом отвечает на прямой вопрос клиента;
- излагает свои мысли логично и понятно, соблюдая баланс краткости и понятности объяснений;
- использует однозначные формулировки;
- уверенно предоставляет как основную, так и альтернативную информацию.
</t>
        </r>
        <r>
          <rPr>
            <b/>
            <sz val="9"/>
            <color indexed="81"/>
            <rFont val="Tahoma"/>
            <family val="2"/>
            <charset val="204"/>
          </rPr>
          <t>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если:
- оператор не может в понятной для клиента форме донести до него информацию;
- оператор не может адаптировать или перефразировать предоставленную для клиента информацию в случае когда клиент не понимает предоставленный ему ответ (задает вопрос повторно или как-то по-другому выражает недопонимание).
- в речи оператора присутствует неуверенность, например: «Я боюсь, что нельзя…», «Да, если я не ошибаюсь…», "Вероятно..."; "Возможно...", "Мне кажется..." и т.д., но если в ходе диалога оператор исправляется и предоставляет конечную информацию уверено, контролер ставит "сомнительно" и прописывает рекомендации.
</t>
        </r>
        <r>
          <rPr>
            <b/>
            <sz val="9"/>
            <color indexed="81"/>
            <rFont val="Tahoma"/>
            <family val="2"/>
            <charset val="204"/>
          </rPr>
          <t xml:space="preserve">"Сомнительно" </t>
        </r>
        <r>
          <rPr>
            <sz val="9"/>
            <color indexed="81"/>
            <rFont val="Tahoma"/>
            <family val="2"/>
            <charset val="204"/>
          </rPr>
          <t>выбирается если, есть незначительные отступления от требований указанных в "Положительно", но они не вызывают недовольства Клиента и не влияют на репутацию компании.</t>
        </r>
      </text>
    </comment>
    <comment ref="E11" authorId="0" shapeId="0" xr:uid="{246B0787-E5EC-44DE-B2FA-7F65FBC9F4AA}">
      <text>
        <r>
          <rPr>
            <b/>
            <sz val="9"/>
            <color indexed="81"/>
            <rFont val="Tahoma"/>
            <family val="2"/>
            <charset val="204"/>
          </rPr>
          <t xml:space="preserve">"Положительно"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если:
- Речь у оператора грамотная: оператор использует правильные стилистические обороты и верно расставляет ударения в словах;
- Оператор верно употребляет и согласовывает слова, правильно ставит ударения; не использует слова-паразиты, не несущие смысловой нагрузки (такие, как: «как бы», «вроде как», «типа», «ну», «так сказать», «эта», «соответственно», «в принципе» и т.п.) и слова с уменьшительно-ласкательными суффиксами (например, «минуточку», «секундочку», «денежка», «водичка» и проч.). 
- Оператор не используются слова-просторечия («алё», «здрасьте» и т.п.), сленг, избегает узко используемых сокращений (ФМО, СМО, ВНД, МО и т.д.), профессиональных слов-жаргонизмов.
</t>
        </r>
        <r>
          <rPr>
            <b/>
            <sz val="9"/>
            <color indexed="81"/>
            <rFont val="Tahoma"/>
            <family val="2"/>
            <charset val="204"/>
          </rPr>
          <t xml:space="preserve">"Отицательно"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не соблюдены требования "Положительно"
</t>
        </r>
        <r>
          <rPr>
            <b/>
            <sz val="9"/>
            <color indexed="81"/>
            <rFont val="Tahoma"/>
            <family val="2"/>
            <charset val="204"/>
          </rPr>
          <t>"Сомнительно"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выбирается, если:
- в речи оператора присутствуют слова-паразиты, но встречаются редко и "не режут слух" ни контролеру, ни Клиенту, то есть не портят впечатление от звонка;
- в речи оператор единожды использует уменьшительно-ласкательный суффикс.</t>
        </r>
      </text>
    </comment>
    <comment ref="E12" authorId="0" shapeId="0" xr:uid="{A4510A72-9F5F-4A88-8DF5-67C458DAA6EE}">
      <text>
        <r>
          <rPr>
            <sz val="9"/>
            <color indexed="81"/>
            <rFont val="Tahoma"/>
            <family val="2"/>
            <charset val="204"/>
          </rPr>
          <t xml:space="preserve">Цель активного\внимательного слушания — поддержать или создать доверительную атмосферу в разговоре, а также дать клиенту понять всю свою заинтересованность в проблеме и ее решении. 
</t>
        </r>
        <r>
          <rPr>
            <b/>
            <sz val="9"/>
            <color indexed="81"/>
            <rFont val="Tahoma"/>
            <family val="2"/>
            <charset val="204"/>
          </rPr>
          <t>"Положительно"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оператор:
- внимательно слушает Клиента и слышит его;
- использует техники активного слушания (фразы «да», «так», «понятно» и парафраз - изложение запроса клиента своими словами; «эхо-реакция» — повторение последнего слова собеседника; «зеркало» — повторение последней фразы собеседника с изменением порядка слов и др. т.п.), при необходимости резюмирует сказанное клиентом;
- не переспрашивает уже полученную информацию или информацию, которую можно найти самостоятельно (например, возраст Клиента, город, тематику запроса, названные в ГП и переданные в ПО);
- при ответе на основной или дополнительные вопросы учитывает ту информацию, которую Клиент уже предоставил. Например, если Клиент в вопросе сообщает, что анализ нужен "ребенку", оператор уточняет возраст ребенка, а не Клиента и предоставляет консультацию именно для ребенка, а не общую для всех;
- обязательно ориентируется на контекст разговора при консультации и задает только уместные вопросы. Например, при записи на услугу УЗИ нижних конечностей нет необходимости спрашивать, находится ли пациент в положении, особенно, если обращается мужчина и запись нужна ему.
</t>
        </r>
        <r>
          <rPr>
            <b/>
            <sz val="9"/>
            <color indexed="81"/>
            <rFont val="Tahoma"/>
            <family val="2"/>
            <charset val="204"/>
          </rPr>
          <t>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в случаях:
- переспрашивает ранее озвученную клиентом информацию или не учитывает ее при предоставлении ответа;
- формально следует правилам,  не используя предоставленную клиентом информацию.
</t>
        </r>
        <r>
          <rPr>
            <b/>
            <sz val="9"/>
            <color indexed="81"/>
            <rFont val="Tahoma"/>
            <family val="2"/>
            <charset val="204"/>
          </rPr>
          <t>"Сомнительно"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если, есть незначительные отступления от требований указанных в "Положительно", но они не вызывают недовольства Клиента и не влияют на репутацию компании.</t>
        </r>
      </text>
    </comment>
    <comment ref="E13" authorId="0" shapeId="0" xr:uid="{C809E9A7-F270-43BC-B408-9DB09771596E}">
      <text>
        <r>
          <rPr>
            <b/>
            <sz val="9"/>
            <color indexed="81"/>
            <rFont val="Tahoma"/>
            <family val="2"/>
            <charset val="204"/>
          </rPr>
          <t>"Положительно"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если:
- оператор уточняет у Клиента, есть ли у него возможность подождать, и объяснить причину, для чего это ожидание необходимо. Например, «Для уточнения этой информации мне необходимы 1-2 минуты». Допустимо использовать фразы «мне потребуется некоторое время»; «несколько минут»; «не более одной-двух минут»;
- непрерывное время ожидания Клиента в одиночестве на линии (после постановки его вызова на удержание) не превышает в среднем 1 минуты, </t>
        </r>
        <r>
          <rPr>
            <i/>
            <u/>
            <sz val="9"/>
            <color indexed="81"/>
            <rFont val="Tahoma"/>
            <family val="2"/>
            <charset val="204"/>
          </rPr>
          <t>если оператор заранее не получил согласие Клиента на большее, точно оговоренное время</t>
        </r>
        <r>
          <rPr>
            <sz val="9"/>
            <color indexed="81"/>
            <rFont val="Tahoma"/>
            <family val="2"/>
            <charset val="204"/>
          </rPr>
          <t xml:space="preserve">;
- длительность ожидания Клиентом на удержании адекватна объему информации для поиска. В случае, если оператор понимает, что удержание затягивается и найдено недостаточно информации для предоставления полного ответа, он обязан вернуться к Клиенту и сообщить, что ему требуется дополнительное время;
- по окончанию ожидания Клиентом на линии, оператор благодарит его, используя фразу, например, «Спасибо за ожидание», и т.п.
- использует режим Mute только в случае кратковременного отключения микрофона на время достаточное для вынужденного кашля, чихания и т.д. Режим Mute не использует для поиска информации;
- оператор ищет информацию, используя режим Hold, чтобы Клиент не слышал посторонние звуки в Контакт-Центре.
- поиск информации требует минимального количества времени и оператор все же ищет ее, не используя режим hold, то обязательно комментирует свои действия, например "подбираю для Вас медофис, информация загружается...", "проверяю, график работы...".
</t>
        </r>
        <r>
          <rPr>
            <b/>
            <sz val="9"/>
            <color indexed="81"/>
            <rFont val="Tahoma"/>
            <family val="2"/>
            <charset val="204"/>
          </rPr>
          <t>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не соблюдены требования описанные в "Положительно".
</t>
        </r>
        <r>
          <rPr>
            <b/>
            <sz val="9"/>
            <color indexed="81"/>
            <rFont val="Tahoma"/>
            <family val="2"/>
            <charset val="204"/>
          </rPr>
          <t>Примечание:</t>
        </r>
        <r>
          <rPr>
            <sz val="9"/>
            <color indexed="81"/>
            <rFont val="Tahoma"/>
            <family val="2"/>
            <charset val="204"/>
          </rPr>
          <t xml:space="preserve"> не оформленные паузы до 30 сек. не являются ошибкой и оцениваются как "Положительно".
</t>
        </r>
        <r>
          <rPr>
            <b/>
            <sz val="9"/>
            <color indexed="81"/>
            <rFont val="Tahoma"/>
            <family val="2"/>
            <charset val="204"/>
          </rPr>
          <t xml:space="preserve">
"Сомнительно"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если, есть незначительные отступления от требований указанных в "Положительно", но они не вызывают недовольства Клиента и не влияют на репутацию компании.</t>
        </r>
      </text>
    </comment>
    <comment ref="E14" authorId="0" shapeId="0" xr:uid="{FB21D1B6-07C4-4AB5-AC25-B3E85A475604}">
      <text>
        <r>
          <rPr>
            <sz val="9"/>
            <color indexed="81"/>
            <rFont val="Tahoma"/>
            <family val="2"/>
            <charset val="204"/>
          </rPr>
          <t xml:space="preserve">Доброжелательность по отношению к каждому клиенту и проявление готовности ему помочь способствуют повышению лояльности клиентов. Вежливые слова помогают создать доброжелательный настрой.
</t>
        </r>
        <r>
          <rPr>
            <b/>
            <sz val="9"/>
            <color indexed="81"/>
            <rFont val="Tahoma"/>
            <family val="2"/>
            <charset val="204"/>
          </rPr>
          <t>"Положительно"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если:
- обслуживание вызовов Клиентов происходит в деловом стиле: вежливо, корректно, доброжелательно.
- в общении с Клиентами оператор использует общепринятые слова и фразы вежливости, например, «Спасибо», «Пожалуйста», «Будьте добры» и т.п.
- использует вежливые слова в стандартных фразах (при идентификации клиента, постановке вызова на удержание, уточнении остались ли дополнительные вопросы);
- на протяжении всего диалога интонация оператора доброжелательная;
- оператор проявляет искреннюю заинтересованность в решении вопроса абонента (ищет возможности помочь клиенту; стремится максимально полно удовлетворить запрос пациента; стремится оставить у клиента ощущение его ценности для компании; не допускает невежливого перебивания; проявляет уважение к клиенту; стремится подстроить темп и громкость своей речи под темп и громкость клиента);
- при необходимости побудить Клиента к какому-либо действию рекомендуется использует фразы: «Обратитесь, пожалуйста», «Напишите, пожалуйста» и т.п.;
</t>
        </r>
        <r>
          <rPr>
            <b/>
            <sz val="9"/>
            <color indexed="81"/>
            <rFont val="Tahoma"/>
            <family val="2"/>
            <charset val="204"/>
          </rPr>
          <t>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выбирается, если:
- у оператора в диалоге усталый голос, раздраженная интонация, сотрудник не заинтересован в разговоре с клиентом, присутствуют оттенки одолжения;
- оператор разговаривает с Клиентом монотонно;
- использует менторский тон;
- отсутствуют слова вежливости, в связи с чем диалог звучит грубо;
- присутствет повелительное наклонение и категоричные высказывания ,такие как: «Вы должны», «Нет, так нельзя», «Это неправильно» и «Вы сделали неправильно», «Нет» (без объяснения), «Вы неправы»;
- присутствует невежливое перебивание (оператор начинает и продолжает говорить вместе с клиентом, повышает тон, поучает клиента, дает информацию противоречащую высказываниям клиента, не дает ему возможности высказаться, не уступает инициативу клиенту в диалоге.)
</t>
        </r>
        <r>
          <rPr>
            <b/>
            <sz val="9"/>
            <color indexed="81"/>
            <rFont val="Tahoma"/>
            <family val="2"/>
            <charset val="204"/>
          </rPr>
          <t>Важно!</t>
        </r>
        <r>
          <rPr>
            <sz val="9"/>
            <color indexed="81"/>
            <rFont val="Tahoma"/>
            <family val="2"/>
            <charset val="204"/>
          </rPr>
          <t xml:space="preserve">
Не является основанием для выбора "отрицательного" значения:
- оператор ненамеренно начал говорить одновременно с Клиентом, при этом не повышая тон и не поучая Клиента, а просто излагая мысль (т.к. понял вопрос) и Клиент «уступил» ему. При этом тон диалога остался нейтральным или позитивным.
</t>
        </r>
        <r>
          <rPr>
            <b/>
            <sz val="9"/>
            <color indexed="81"/>
            <rFont val="Tahoma"/>
            <family val="2"/>
            <charset val="204"/>
          </rPr>
          <t>"Сомнительно"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если, есть незначительные отступления от требований указанных в "Положительно", но они не вызывают недовольства Клиента и не влияют на репутацию компании.</t>
        </r>
      </text>
    </comment>
    <comment ref="E16" authorId="0" shapeId="0" xr:uid="{BFA49DAA-DA3E-40C1-A07D-98109E810DF1}">
      <text>
        <r>
          <rPr>
            <b/>
            <sz val="9"/>
            <color indexed="81"/>
            <rFont val="Tahoma"/>
            <family val="2"/>
            <charset val="204"/>
          </rPr>
          <t xml:space="preserve">"Положительно"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оператор:
- не доспускает возникновения конфликта/претензии.
- знает и применяет техники эффективного управления конфликтом/алгоритм работы с претензионным обращением.
- умеет разрешить конфликтную ситуацию с партнером по стандартному алгоритму.
</t>
        </r>
        <r>
          <rPr>
            <b/>
            <sz val="9"/>
            <color indexed="81"/>
            <rFont val="Tahoma"/>
            <family val="2"/>
            <charset val="204"/>
          </rPr>
          <t>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не соблюдены требования описанные в "Положительно".
</t>
        </r>
        <r>
          <rPr>
            <b/>
            <sz val="9"/>
            <color indexed="81"/>
            <rFont val="Tahoma"/>
            <family val="2"/>
            <charset val="204"/>
          </rPr>
          <t xml:space="preserve">"Сомнительно" </t>
        </r>
        <r>
          <rPr>
            <sz val="9"/>
            <color indexed="81"/>
            <rFont val="Tahoma"/>
            <family val="2"/>
            <charset val="204"/>
          </rPr>
          <t>выбирается если оператор, не прошедший обучение по работе с конфликтными Клиентами, попытался самостоятельно отработать конфликтную ситуацию, но не справился и в итоге перенаправил Клиента на выделенную линию/специалиста/ресурс (при условии, если действия оператора не усугубили конфликт).</t>
        </r>
      </text>
    </comment>
    <comment ref="E17" authorId="0" shapeId="0" xr:uid="{DE827F92-9F80-4511-A392-F1352E563EBC}">
      <text>
        <r>
          <rPr>
            <b/>
            <sz val="9"/>
            <color indexed="81"/>
            <rFont val="Tahoma"/>
            <family val="2"/>
            <charset val="204"/>
          </rPr>
          <t>"Положительно"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если:
- оператор в независимости от манеры общения Клиента, выявляет его запрос и консультирует его, игнорируя некорректное поведение. Это относится к ситуациям, где Клиент использует нецензурную лексику, оскорбляет, задает вопросы личного характера или не относящиеся к деятельности ИНВИТРО;
- запрос Клиента не ясен, оператор уточняет, есть ли у него вопросы по услугам ИНВИТРО. Например, «Я могу предоставить информацию по услугам ИНВИТРО. Что именно Вас интересует?». В случае отрицательного ответа специалист завершает разговор, используя стандартную фразу прощания: «Спасибо за звонок. Всего доброго» ;
- оператор независимо от поведения клиента, остается вежливым и доброжелательным.
</t>
        </r>
        <r>
          <rPr>
            <b/>
            <sz val="9"/>
            <color indexed="81"/>
            <rFont val="Tahoma"/>
            <family val="2"/>
            <charset val="204"/>
          </rPr>
          <t>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оператор не соблюдает требования описанные в "Положительно", ведет себя не доброжелательно, выводит клиента на конфликт или усугубляет его.
</t>
        </r>
        <r>
          <rPr>
            <b/>
            <sz val="9"/>
            <color indexed="81"/>
            <rFont val="Tahoma"/>
            <family val="2"/>
            <charset val="204"/>
          </rPr>
          <t xml:space="preserve">
"Сомнительно"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действия оператора не соответствуют требованиям описанным в "Положительно" (1 и 2 пункты), но при этом они не приводят к претензии со стороны Клиента, к финансовым или репутационным рискам компании, и оператор в любом случае, независимо от поведения партнера, оставался вежливым и доброжелательным.</t>
        </r>
      </text>
    </comment>
    <comment ref="E19" authorId="0" shapeId="0" xr:uid="{6D1F3F59-D325-4E56-B182-975945CB3A7D}">
      <text>
        <r>
          <rPr>
            <b/>
            <sz val="9"/>
            <color indexed="81"/>
            <rFont val="Tahoma"/>
            <family val="2"/>
            <charset val="204"/>
          </rPr>
          <t xml:space="preserve">"Положительно" 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оператор:
- задаёт уточняющие вопросы, чтобы конкретизировать потребность клиента и/или выяснить, какие именно исследования или услуги он хочет получить. Примеры:
-«Уточните, пожалуйста, какие исследования назначил Вам врач...»; 
-"Вы по назначению врача сдаете исследование? А что написано в направлении? / Какие показатели указал врач?";
-"Как быстро нужены результаты?"(тематика "Анализы")
-вопросы по беременности и возрасту пациента;
-нужна ли полная консультация по исследованию (Правильно ли я понимаю, что вы знакомы со стоимостью, сроком и подготовкой к исследованию?);
- вопросы о планах клиента по обращению офиса (например: "К сожалению, дозаказ недоступен. Нужно повторно сдать биоматериал. Будет удобно?"(тематика "Дозаказ")
 и т.п. 
</t>
        </r>
        <r>
          <rPr>
            <b/>
            <sz val="9"/>
            <color indexed="81"/>
            <rFont val="Tahoma"/>
            <family val="2"/>
            <charset val="204"/>
          </rPr>
          <t xml:space="preserve">
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оператор:
- не задает уточняющих\наводящих вопросов при неоднозначной формулировке вопроса клиентом, в результате дает клиенту неверную\неполную консультацию, затягивает диалог;
- несмотря на приложенные усилия, неверно выяснил запрос Клиента или не выяснил его вовсе.
</t>
        </r>
        <r>
          <rPr>
            <b/>
            <sz val="9"/>
            <color indexed="81"/>
            <rFont val="Tahoma"/>
            <family val="2"/>
            <charset val="204"/>
          </rPr>
          <t>"Сомнительно"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оператор не задал уточняющие/\наводящие вопросы, при неоднозначной формулировке вопроса Клиентом, но Клиент в процессе диалога сам конкретизировал свою потребность, что по итогу не повлияло на получение корректной консультации.</t>
        </r>
      </text>
    </comment>
    <comment ref="E21" authorId="0" shapeId="0" xr:uid="{0F875692-258B-4122-AF8F-09EFE37C01E9}">
      <text>
        <r>
          <rPr>
            <b/>
            <sz val="9"/>
            <color indexed="81"/>
            <rFont val="Tahoma"/>
            <family val="2"/>
            <charset val="204"/>
          </rPr>
          <t xml:space="preserve">"Положительно"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оператор:
Предоставляет полную и правильную информацию по товару/услуге:
- корректно осуществляет подбор анализов, МО(в том числе предложение другого офиса/МО/врача);
- осуществляет корректную консультацию по подготовке, стоимости, срокам;
- осуществляет корректную консультацию по графику (в том числе озвучивает фразу: «График приема б/м может отличаться в зависимости от дня недели, в случае изменения ваших планов рекомендуем уточнить график на конкретный день.»);
- озвучивает уточнения по исследованиям, выделенные красным шрифтом в корзине и информацию по увеличению сроков выполнения в связи с перепроверкой или задержками (если информация присутствует в ПО);
- в случае необходимости сообщает имена ресурсов (адреса сайтов, контактные телефоны и др. заказчика), на которых можно получить информацию, и навигирует по ним.
Предоставляет полную и верную информацию Клиенту, совершает корректные действия по алгоритму, для верного решения вопроса Клиента.
</t>
        </r>
        <r>
          <rPr>
            <b/>
            <sz val="9"/>
            <color indexed="81"/>
            <rFont val="Tahoma"/>
            <family val="2"/>
            <charset val="204"/>
          </rPr>
          <t>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не соблюдены требования описанные в "Положительно".
</t>
        </r>
        <r>
          <rPr>
            <b/>
            <sz val="9"/>
            <color indexed="81"/>
            <rFont val="Tahoma"/>
            <family val="2"/>
            <charset val="204"/>
          </rPr>
          <t>"Сомнительно"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непредставленная/некорректно предоставленная оператором информация:
- не повлияет на получение клиентом услуги;
- не приведет к претензии со стороны Клиента;
- не приведет к финансовым или репутационным рискам компании.</t>
        </r>
      </text>
    </comment>
    <comment ref="E22" authorId="0" shapeId="0" xr:uid="{03733007-1290-4018-9E1E-85A19F1AC81C}">
      <text>
        <r>
          <rPr>
            <b/>
            <sz val="9"/>
            <color indexed="81"/>
            <rFont val="Tahoma"/>
            <family val="2"/>
            <charset val="204"/>
          </rPr>
          <t xml:space="preserve">"Положительно"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оператор:
предоставляет полную и правильную информацию, которую необходимо озвучить клиенту в рамках алгоритма, но ее нельзя отнести к пунктам выше.
Примеры:
ОП корректно информирует:
-по наличию документов при обращении в офис;
-по программе лояльности (при запросе клиента);
-по файлу "Преаналитика", "методы и методики" (при запросе клиента);
-по акциям/промокодам/купонам (при запросе клиента)
-об опаздании на услугу (при формировании записи);
-о возможности переноса записи (при запросе на отмену);
-о возможности клиенту самостоятельно записаться на услугу (Вы можете самостоятельно отслеживать освободившееся время на сайте...).
- предлагает обратиться в МО, в случае если клиента не устраивают условия ВНД (тематика ВНД)
и т.д.
</t>
        </r>
        <r>
          <rPr>
            <b/>
            <sz val="9"/>
            <color indexed="81"/>
            <rFont val="Tahoma"/>
            <family val="2"/>
            <charset val="204"/>
          </rPr>
          <t>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не соблюдены требования описанные в "Положительно".
</t>
        </r>
        <r>
          <rPr>
            <b/>
            <sz val="9"/>
            <color indexed="81"/>
            <rFont val="Tahoma"/>
            <family val="2"/>
            <charset val="204"/>
          </rPr>
          <t>"Сомнительно"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непредставленная/некорректно предоставленная оператором информация:
- не повлияет на получение клиентом услуги;
- не приведет к претензии со стороны Клиента;
- не приведет к финансовым или репутационным рискам компании.</t>
        </r>
      </text>
    </comment>
    <comment ref="E23" authorId="0" shapeId="0" xr:uid="{5877AA62-4388-4472-9158-E184FE92FBF6}">
      <text>
        <r>
          <rPr>
            <b/>
            <sz val="9"/>
            <color indexed="81"/>
            <rFont val="Tahoma"/>
            <family val="2"/>
            <charset val="204"/>
          </rPr>
          <t>"Положительно"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если оператор:
- проверил возможность заказа ВНД\записи к врачу\на услугу;
- запись к врачу\на услугу произвел корректно;
- использовал согласованную электронную форму запроса (ЭФ), правильно заполнил все поля: данные пациента, контактную информацию и суть запроса клиента.
</t>
        </r>
        <r>
          <rPr>
            <b/>
            <sz val="9"/>
            <color indexed="81"/>
            <rFont val="Tahoma"/>
            <family val="2"/>
            <charset val="204"/>
          </rPr>
          <t>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выбирается, если оператор:
- некорректно произвел запись к врача/на услугу;
- некорректно или с ошибками создал заявку ВНД;
- неправомерно создал запрос "вне компетенции";
- выбрал не ту ЭФ, которую необходимо офорлять по алгоритму или направил ее неправомерно;
- неправомерно создал претензию в ОРО или не создал ее;
- создал претензию вместо запроса "вне компетенции" и наборот;
</t>
        </r>
        <r>
          <rPr>
            <b/>
            <sz val="9"/>
            <color indexed="81"/>
            <rFont val="Tahoma"/>
            <family val="2"/>
            <charset val="204"/>
          </rPr>
          <t xml:space="preserve">"Сомнительно" </t>
        </r>
        <r>
          <rPr>
            <sz val="9"/>
            <color indexed="81"/>
            <rFont val="Tahoma"/>
            <family val="2"/>
            <charset val="204"/>
          </rPr>
          <t>выбирается в случае наличия незначительных грамматических ошибок в тексте заявки/письма/запроса/ЭФ и т.д.</t>
        </r>
      </text>
    </comment>
    <comment ref="E25" authorId="0" shapeId="0" xr:uid="{E10B083B-A34F-41D0-B267-2D57465D434C}">
      <text>
        <r>
          <rPr>
            <b/>
            <sz val="9"/>
            <color indexed="81"/>
            <rFont val="Tahoma"/>
            <family val="2"/>
            <charset val="204"/>
          </rPr>
          <t xml:space="preserve">"Положительно"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оператор:
- при переводе вызова Клиента на другую линию/функциональную группу/другой отдел, оператор предупредил Клиента о переводе и прощался с ним;
- при необходимости перевода звонка на смежное подразделение, перевел звонок согласно процедуре (условный и безусловный) с соблюдением заявленных таймингов перевода;
- при срыве звонка со стороны Клиента, перезвонил Клиенту сразу после обрыва звонка, представился, уточнил удобно ли клиенту продолжить диалог и напомнил о теме прерваного разговора;
- осуществил суммарно 3 дозвона до клиента, в случае если клиент не ответил на первый перезвон;
- уточнил время перезвона, если Клиент озвучил, что ему неудобно продолжать разговор.
</t>
        </r>
        <r>
          <rPr>
            <b/>
            <sz val="9"/>
            <color indexed="81"/>
            <rFont val="Tahoma"/>
            <family val="2"/>
            <charset val="204"/>
          </rPr>
          <t xml:space="preserve">
"Отрицательно"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выбирается, если оператор:
- перевел звонок в МО, обладая всей информацией по запросу Клиента;
- позвонил в МО за консультацией, обладая всей информацией по запросу Клиента
- не перезвонил Клиенту после обрыва звонка;
- перезвонил не сразу после обрыва звонка без объективных причин (зафиксированная проблема с ПО, распоряжение руководства о запрете перезвонов и пр.);
- не уточнил время перезвона, если Клиент озвучил, что ему неудобно продолжать разговор
</t>
        </r>
        <r>
          <rPr>
            <b/>
            <sz val="9"/>
            <color indexed="81"/>
            <rFont val="Tahoma"/>
            <family val="2"/>
            <charset val="204"/>
          </rPr>
          <t>"Сомнительно"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выбирается, если оператор при перезвоне: 
- не представился лично, не напомнил о теме прерванного разговора;
- не уточнил удобно ли Клиенту продолжить разговор.
</t>
        </r>
      </text>
    </comment>
    <comment ref="E26" authorId="0" shapeId="0" xr:uid="{4D82A118-B54B-4EF4-AB5A-403497EC513A}">
      <text>
        <r>
          <rPr>
            <b/>
            <sz val="9"/>
            <color indexed="81"/>
            <rFont val="Tahoma"/>
            <family val="2"/>
            <charset val="204"/>
          </rPr>
          <t xml:space="preserve">"Положительно"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оператор корректно выбрал все уровни классификатора и добавил в корзину только запрошенные и выбранные клиентом тесты, как по основному запросу, так и по доп. продвижению. Каждый вопрос Клиента, относящийся к разным категориям, регистрирует несколькими карточками/отдельными тематиками в соответствии с классификатором.
</t>
        </r>
        <r>
          <rPr>
            <b/>
            <sz val="9"/>
            <color indexed="81"/>
            <rFont val="Tahoma"/>
            <family val="2"/>
            <charset val="204"/>
          </rPr>
          <t xml:space="preserve">"Отрицательно"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оператор не сохранил карточку(и) обращения или некорректно выбрал тематику 2-го уровня. 
</t>
        </r>
        <r>
          <rPr>
            <b/>
            <sz val="9"/>
            <color indexed="81"/>
            <rFont val="Tahoma"/>
            <family val="2"/>
            <charset val="204"/>
          </rPr>
          <t>"Сомнительно"</t>
        </r>
        <r>
          <rPr>
            <sz val="9"/>
            <color indexed="81"/>
            <rFont val="Tahoma"/>
            <family val="2"/>
            <charset val="204"/>
          </rPr>
          <t xml:space="preserve"> выбирается в случае, если оператор:
- некорректно указал ФИО клиента, в случае, если клиент представился (не будет считается ошибкой при условии, что это не повлияло на качество консультации по запросу, то есть консультация была проведена верно);
- некорректно указал типа клиента (не будет считается ошибкой при условии, что это не повлияло на качество консультации по запросу, то есть консультация была проведена верно).
- неверно выбрал один или несколько уровней классификатора (исключение: неверный выбор тематики 2-го уровня) и единично неверно/неполно добавил артикулы запрошенных/озвученных тестов.</t>
        </r>
      </text>
    </comment>
    <comment ref="E28" authorId="0" shapeId="0" xr:uid="{99C1C587-9D03-4855-8AC5-3804C6547A4C}">
      <text>
        <r>
          <rPr>
            <b/>
            <sz val="9"/>
            <color indexed="81"/>
            <rFont val="Tahoma"/>
            <family val="2"/>
            <charset val="204"/>
          </rPr>
          <t xml:space="preserve">"Положительно"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оператор предлагает и озвучивает доп. предложения - акция(и), предложение ВНД, дозаказа, врачей, доп. программ, любые доп.продвижения, предусмотренные алгоритмом.
</t>
        </r>
        <r>
          <rPr>
            <b/>
            <sz val="9"/>
            <color indexed="81"/>
            <rFont val="Tahoma"/>
            <family val="2"/>
            <charset val="204"/>
          </rPr>
          <t xml:space="preserve">"Отрицательно" </t>
        </r>
        <r>
          <rPr>
            <sz val="9"/>
            <color indexed="81"/>
            <rFont val="Tahoma"/>
            <family val="2"/>
            <charset val="204"/>
          </rPr>
          <t>выбирается если не соблюдены требования описанные в "Положительно".</t>
        </r>
      </text>
    </comment>
    <comment ref="E29" authorId="0" shapeId="0" xr:uid="{8AAF7FA4-0313-4F99-A741-B4BBB1FAD1E2}">
      <text>
        <r>
          <rPr>
            <b/>
            <sz val="9"/>
            <color indexed="81"/>
            <rFont val="Tahoma"/>
            <family val="2"/>
            <charset val="204"/>
          </rPr>
          <t xml:space="preserve">"Положительно" </t>
        </r>
        <r>
          <rPr>
            <sz val="9"/>
            <color indexed="81"/>
            <rFont val="Tahoma"/>
            <family val="2"/>
            <charset val="204"/>
          </rPr>
          <t>выбирается если оператор предлагает доп. продвижения под корзиной (кросс-продажи).</t>
        </r>
        <r>
          <rPr>
            <b/>
            <sz val="9"/>
            <color indexed="81"/>
            <rFont val="Tahoma"/>
            <family val="2"/>
            <charset val="204"/>
          </rPr>
          <t xml:space="preserve">
"Отрицательно"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не соблюдены требования описанные в "Положительно".
</t>
        </r>
      </text>
    </comment>
    <comment ref="E30" authorId="0" shapeId="0" xr:uid="{DCAADCFB-D9DA-4630-8156-98E6D02460EB}">
      <text>
        <r>
          <rPr>
            <b/>
            <sz val="9"/>
            <color indexed="81"/>
            <rFont val="Tahoma"/>
            <family val="2"/>
            <charset val="204"/>
          </rPr>
          <t xml:space="preserve">"Положительно"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оператор предлагает оформить предзаказ, в случае если это предусмотренно алгоритмом.
</t>
        </r>
        <r>
          <rPr>
            <b/>
            <sz val="9"/>
            <color indexed="81"/>
            <rFont val="Tahoma"/>
            <family val="2"/>
            <charset val="204"/>
          </rPr>
          <t xml:space="preserve">
"Отрицательно"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не соблюдены требования описанные в "Положительно".
</t>
        </r>
      </text>
    </comment>
    <comment ref="E31" authorId="0" shapeId="0" xr:uid="{42C88E2F-0897-45B3-8F01-3D83C52229FB}">
      <text>
        <r>
          <rPr>
            <b/>
            <sz val="9"/>
            <color indexed="81"/>
            <rFont val="Tahoma"/>
            <family val="2"/>
            <charset val="204"/>
          </rPr>
          <t xml:space="preserve">"Положительно" </t>
        </r>
        <r>
          <rPr>
            <sz val="9"/>
            <color indexed="81"/>
            <rFont val="Tahoma"/>
            <family val="2"/>
            <charset val="204"/>
          </rPr>
          <t>выбирается если оператор предлагает направить ссылку на собранную корзину, в случае невозможности оформить предзаказ (см. алгоритм).</t>
        </r>
        <r>
          <rPr>
            <b/>
            <sz val="9"/>
            <color indexed="81"/>
            <rFont val="Tahoma"/>
            <family val="2"/>
            <charset val="204"/>
          </rPr>
          <t xml:space="preserve">
"Отрицательно"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не соблюдены требования описанные в "Положительно".
</t>
        </r>
      </text>
    </comment>
    <comment ref="E33" authorId="0" shapeId="0" xr:uid="{07399DC1-82C1-4E08-9B0F-93FDE4322581}">
      <text>
        <r>
          <rPr>
            <b/>
            <sz val="9"/>
            <color indexed="81"/>
            <rFont val="Tahoma"/>
            <family val="2"/>
            <charset val="204"/>
          </rPr>
          <t xml:space="preserve">"Обнаружено"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если есть подтвержденная на оператора багодарность.
</t>
        </r>
      </text>
    </comment>
    <comment ref="E34" authorId="0" shapeId="0" xr:uid="{68F74A0B-594D-44E2-B870-3B46EB03F8E3}">
      <text>
        <r>
          <rPr>
            <b/>
            <sz val="9"/>
            <color indexed="81"/>
            <rFont val="Tahoma"/>
            <family val="2"/>
            <charset val="204"/>
          </rPr>
          <t xml:space="preserve">"Обнаружено" </t>
        </r>
        <r>
          <rPr>
            <sz val="9"/>
            <color indexed="81"/>
            <rFont val="Tahoma"/>
            <family val="2"/>
            <charset val="204"/>
          </rPr>
          <t xml:space="preserve">выбирается есть есть подтвержденная жалоба на оператора.
</t>
        </r>
      </text>
    </comment>
    <comment ref="E35" authorId="0" shapeId="0" xr:uid="{DBB78AE9-3245-4447-9BFA-B32721B6C67C}">
      <text>
        <r>
          <rPr>
            <b/>
            <sz val="9"/>
            <color indexed="81"/>
            <rFont val="Tahoma"/>
            <family val="2"/>
            <charset val="204"/>
          </rPr>
          <t xml:space="preserve">"Обнаружено" </t>
        </r>
        <r>
          <rPr>
            <sz val="9"/>
            <color indexed="81"/>
            <rFont val="Tahoma"/>
            <family val="2"/>
            <charset val="204"/>
          </rPr>
          <t>выбирается если чек-лист оценен при разборе жалобы. - на обсуждение.
(данный пункт просили внести площадка 1010, чтобы в отчетах чек-листы по жалобам подсвечивались отдельно от чек-листов по регулярной прослушке).</t>
        </r>
      </text>
    </comment>
    <comment ref="E37" authorId="0" shapeId="0" xr:uid="{7A3E192A-9161-4F4D-9BAD-07C56918C73E}">
      <text>
        <r>
          <rPr>
            <b/>
            <sz val="9"/>
            <color rgb="FF000000"/>
            <rFont val="Tahoma"/>
            <family val="2"/>
            <charset val="204"/>
          </rPr>
          <t xml:space="preserve">
Вариант "обнаружено" выбирается</t>
        </r>
        <r>
          <rPr>
            <sz val="9"/>
            <color rgb="FF000000"/>
            <rFont val="Tahoma"/>
            <family val="2"/>
            <charset val="204"/>
          </rPr>
          <t>, если оператор повышает тон голоса, оскорбляет достоинство Клиента, обвиняет Клиента, сквернословит, неадекватно реагирует на слова Клиента (например, смех, улыбка в голосе, ирония и т.д.), разговаривает свысока, снисходительно или пренебрежительно, провоцирует Клиента на конфликт (действие, целью которого является возбуждение у другого человека негативной реакции, вступление в открытый спор, давление на Клиента, отказ в категоричной форме).</t>
        </r>
      </text>
    </comment>
    <comment ref="E38" authorId="0" shapeId="0" xr:uid="{B5FE78C7-B3F1-40A8-8638-18DCD2934150}">
      <text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b/>
            <sz val="9"/>
            <color rgb="FF000000"/>
            <rFont val="Tahoma"/>
            <family val="2"/>
            <charset val="204"/>
          </rPr>
          <t>Вариант "обнаружено" выбирается</t>
        </r>
        <r>
          <rPr>
            <sz val="9"/>
            <color rgb="FF000000"/>
            <rFont val="Tahoma"/>
            <family val="2"/>
            <charset val="204"/>
          </rPr>
          <t xml:space="preserve"> в следующих случаях: 
- разглашение персональных данных (сообщение ФИО, даты рождения);
- сотрудник зачитывает результаты анализов без разрешения Клиента;
- сотрудник зачитывает результаты анализа третьим лицам с нарушением правил идентификации</t>
        </r>
      </text>
    </comment>
    <comment ref="E39" authorId="0" shapeId="0" xr:uid="{7BA6CD0E-4DB5-4F82-8108-FAD22554224F}">
      <text>
        <r>
          <rPr>
            <b/>
            <sz val="9"/>
            <color rgb="FF000000"/>
            <rFont val="Tahoma"/>
            <family val="2"/>
            <charset val="204"/>
          </rPr>
          <t>Вариант "обнаружено" выбирается</t>
        </r>
        <r>
          <rPr>
            <sz val="9"/>
            <color rgb="FF000000"/>
            <rFont val="Tahoma"/>
            <family val="2"/>
            <charset val="204"/>
          </rPr>
          <t xml:space="preserve"> в случае, если оператор необоснованно отказывает в обслуживании, обладая всей необходимой для консультации информацией/необоснованно прерывает диалог с Клиентом</t>
        </r>
      </text>
    </comment>
    <comment ref="E40" authorId="0" shapeId="0" xr:uid="{47851D8F-28D9-48AF-86B7-D718B23A57CC}">
      <text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b/>
            <sz val="9"/>
            <color rgb="FF000000"/>
            <rFont val="Tahoma"/>
            <family val="2"/>
            <charset val="204"/>
          </rPr>
          <t>Вариант "обнаружено" выбирается:
-</t>
        </r>
        <r>
          <rPr>
            <sz val="9"/>
            <color rgb="FF000000"/>
            <rFont val="Tahoma"/>
            <family val="2"/>
            <charset val="204"/>
          </rPr>
          <t xml:space="preserve"> если оператор допускает негативные высказывания в отношении сотрудников, партнеров, Клиентов, а также продуктов и услуг Инвитро. Например: 
"Я не знаю почему Вас неверно проконсультировали в прошлый раз/другой сотрудник и т.д"
"В офисе Вам неправильно сказали"
"У нас тесты только российского производства, но зарубежные, как правило лучше, у нас зарубежных нет"
"Я не отвечаю за других сотрудников"
"Это делают другие отделы, я не знаю их правил" и т.д.
</t>
        </r>
        <r>
          <rPr>
            <b/>
            <sz val="9"/>
            <color rgb="FF000000"/>
            <rFont val="Tahoma"/>
            <family val="2"/>
            <charset val="204"/>
          </rPr>
          <t xml:space="preserve">
-</t>
        </r>
        <r>
          <rPr>
            <sz val="9"/>
            <color rgb="FF000000"/>
            <rFont val="Tahoma"/>
            <family val="2"/>
            <charset val="204"/>
          </rPr>
          <t xml:space="preserve"> в случае, если оператор предлагает воспользоваться услугами конкурента при негативном высказывании Клиента в адрес Инвитро, без попыток снять негатив у Клиента
</t>
        </r>
      </text>
    </comment>
  </commentList>
</comments>
</file>

<file path=xl/sharedStrings.xml><?xml version="1.0" encoding="utf-8"?>
<sst xmlns="http://schemas.openxmlformats.org/spreadsheetml/2006/main" count="182" uniqueCount="143">
  <si>
    <t>Приветствие</t>
  </si>
  <si>
    <t>Выявление потребностей</t>
  </si>
  <si>
    <t>Активное слушание</t>
  </si>
  <si>
    <t>Предоставление информации</t>
  </si>
  <si>
    <t>Управление конфликтом</t>
  </si>
  <si>
    <t>Поведение в нестандартной ситуации</t>
  </si>
  <si>
    <t>Техника ведения диалога</t>
  </si>
  <si>
    <t>Управление разговором</t>
  </si>
  <si>
    <t>Понятность предоставления информации</t>
  </si>
  <si>
    <t>Грамотность речи</t>
  </si>
  <si>
    <t>Прощание</t>
  </si>
  <si>
    <t>Постановка вызова на удержание</t>
  </si>
  <si>
    <t>Влияние отрицательного результата</t>
  </si>
  <si>
    <t xml:space="preserve">Дата звонка: </t>
  </si>
  <si>
    <t>Критерий звонка:</t>
  </si>
  <si>
    <t xml:space="preserve">Время звонка: </t>
  </si>
  <si>
    <t xml:space="preserve">Тематика диалога (название улуги/исследования/продукта/проекта): </t>
  </si>
  <si>
    <t>Результат по критерию</t>
  </si>
  <si>
    <t>Критерий выборки</t>
  </si>
  <si>
    <t>Длит: короткий (до 3 мин)</t>
  </si>
  <si>
    <t>положительно</t>
  </si>
  <si>
    <t>Длит: средний (3-5 мин)</t>
  </si>
  <si>
    <t>сомнительно</t>
  </si>
  <si>
    <t>отрицательно</t>
  </si>
  <si>
    <t>Длит: длинный (5-10 мин)</t>
  </si>
  <si>
    <t>Длит: затянутый (более 10 мин)</t>
  </si>
  <si>
    <t>Недопустимые события</t>
  </si>
  <si>
    <t>Грубость и хамство в отношении абонента</t>
  </si>
  <si>
    <t>Нарушение норм информационной безопасности, раскрытие врачебной тайны или конфиденциальной информации о клиентах Инвитро третьим лицам</t>
  </si>
  <si>
    <t>Обрыв звонка со стороны оператора, отказ в обслуживании</t>
  </si>
  <si>
    <t>Дискредитация компании Инвитро (негативные высказывания в отношении сотрудников, партнеров, клиентов, а также продуктов и услуг Инвитро)</t>
  </si>
  <si>
    <t>Балл</t>
  </si>
  <si>
    <t>Обнаружено</t>
  </si>
  <si>
    <t>Не обнаружено</t>
  </si>
  <si>
    <t>Анализы</t>
  </si>
  <si>
    <t>Медицинские услуги</t>
  </si>
  <si>
    <t>ВНД</t>
  </si>
  <si>
    <t>Дозаказ анализа</t>
  </si>
  <si>
    <t>Контакты/Сотрудничество</t>
  </si>
  <si>
    <t>Программа лояльности</t>
  </si>
  <si>
    <t>Ресепшен</t>
  </si>
  <si>
    <t>Ветеринария</t>
  </si>
  <si>
    <t>Вакцинация</t>
  </si>
  <si>
    <t>Другое</t>
  </si>
  <si>
    <t>Работа с конфликтом</t>
  </si>
  <si>
    <t>Эмпатия и доброжелательность</t>
  </si>
  <si>
    <t>Установление контакта и завершение диалога</t>
  </si>
  <si>
    <t>Регистрация запроса</t>
  </si>
  <si>
    <t>Наличие благодарности или др. поощрения</t>
  </si>
  <si>
    <t>Качество контакта:</t>
  </si>
  <si>
    <t>ФИО контролера:</t>
  </si>
  <si>
    <t>Дата оценки:</t>
  </si>
  <si>
    <t>ФИО оператора:</t>
  </si>
  <si>
    <t>Номер телефона:</t>
  </si>
  <si>
    <t>Обработка и регистрация запроса клиента</t>
  </si>
  <si>
    <t>Сопутствующая информация</t>
  </si>
  <si>
    <t>Корректность действий при срыве звонка, переводе вызова</t>
  </si>
  <si>
    <t>Город обращения</t>
  </si>
  <si>
    <t>Агломерация</t>
  </si>
  <si>
    <t>Подтвержденная жалоба</t>
  </si>
  <si>
    <t>Благодарности и жалобы</t>
  </si>
  <si>
    <t>Акции и скидки</t>
  </si>
  <si>
    <t>Результаты</t>
  </si>
  <si>
    <t>Обращения</t>
  </si>
  <si>
    <t>Партнерские программы</t>
  </si>
  <si>
    <t>Цифровые продукты</t>
  </si>
  <si>
    <t>Инъекции/Капельницы</t>
  </si>
  <si>
    <t>Врачебные услуги</t>
  </si>
  <si>
    <t>Приём врача</t>
  </si>
  <si>
    <t>Справки для ФНС</t>
  </si>
  <si>
    <t>ОМС/ДМС</t>
  </si>
  <si>
    <t>Подтематика</t>
  </si>
  <si>
    <t>Актуальные акции Анализы</t>
  </si>
  <si>
    <t>Актуальные акции ВНД</t>
  </si>
  <si>
    <t>Актуальные акции услуги</t>
  </si>
  <si>
    <t>Аннулирование дисконтных карт</t>
  </si>
  <si>
    <t>Бесплатная пересдача</t>
  </si>
  <si>
    <t>Благодарности</t>
  </si>
  <si>
    <t>Бонусы пропали или не начислились</t>
  </si>
  <si>
    <t>Врач</t>
  </si>
  <si>
    <t>Газпромбонус</t>
  </si>
  <si>
    <t>Где посмотреть результаты анализов/услуг</t>
  </si>
  <si>
    <t>Голосовой помощник/IVR</t>
  </si>
  <si>
    <t>График приёма БМ</t>
  </si>
  <si>
    <t>Документы/Направления</t>
  </si>
  <si>
    <t>Донорство костного мозга</t>
  </si>
  <si>
    <t>Дублирование результатов</t>
  </si>
  <si>
    <t>Запись</t>
  </si>
  <si>
    <t>Изменение/дополнение заявки</t>
  </si>
  <si>
    <t>Как активировать бонусный счет</t>
  </si>
  <si>
    <t>Как получить результаты в бумажном виде</t>
  </si>
  <si>
    <t>Как проверить готовность результатов</t>
  </si>
  <si>
    <t>Как узнать баланс бонусов</t>
  </si>
  <si>
    <t>Клиент просит озвучить его результаты</t>
  </si>
  <si>
    <t>Консультация врача по подбору анализа</t>
  </si>
  <si>
    <t>Линия КК</t>
  </si>
  <si>
    <t>ЛК/МП</t>
  </si>
  <si>
    <t>На что можно списать бонусы и как это сделать</t>
  </si>
  <si>
    <t>Подбор</t>
  </si>
  <si>
    <t>Не пришли результаты анализов/услуг</t>
  </si>
  <si>
    <t>Общая информация о программе лояльности</t>
  </si>
  <si>
    <t>Оплата частями (Подели)</t>
  </si>
  <si>
    <t>Отмена записи</t>
  </si>
  <si>
    <t>Оформление ВНД</t>
  </si>
  <si>
    <t>Первичное обращение</t>
  </si>
  <si>
    <t>Перевод на ЛВ</t>
  </si>
  <si>
    <t>Перенос записи</t>
  </si>
  <si>
    <t>Повторное обращение</t>
  </si>
  <si>
    <t>Подбор МО</t>
  </si>
  <si>
    <t>Подготовка</t>
  </si>
  <si>
    <t>Правила оказания услуг по ОМС/ДМС</t>
  </si>
  <si>
    <t>Предзаказ</t>
  </si>
  <si>
    <t>Предложения</t>
  </si>
  <si>
    <t>Претензии</t>
  </si>
  <si>
    <t>Проблемы с применением скидок</t>
  </si>
  <si>
    <t>Промокоды/купоны/сертификат</t>
  </si>
  <si>
    <t>Сайт</t>
  </si>
  <si>
    <t>Сберздоровье</t>
  </si>
  <si>
    <t>Сколько действуют бонусы</t>
  </si>
  <si>
    <t>Социальный кэшбэк (ветераны, пенсионеры, инвалиды и пр.)</t>
  </si>
  <si>
    <t>Срок готовности анализа (еще не сдавали)</t>
  </si>
  <si>
    <t>Стоимость услуги</t>
  </si>
  <si>
    <t>Утерян/неизвестен ИНЗ</t>
  </si>
  <si>
    <t>Чекапы</t>
  </si>
  <si>
    <t>Тематика</t>
  </si>
  <si>
    <t>Доп. продвижение</t>
  </si>
  <si>
    <t>Информация по товару или услуге/решение вопроса клиента/корректность действий по алгоритму</t>
  </si>
  <si>
    <t>Результат_2</t>
  </si>
  <si>
    <t>Результат_3</t>
  </si>
  <si>
    <t>Результат_1</t>
  </si>
  <si>
    <t>Предложение допродаж</t>
  </si>
  <si>
    <t>Предложение кросс-продаж</t>
  </si>
  <si>
    <t>Предложение оформления предварительного заказа</t>
  </si>
  <si>
    <t>Предложение отправки ссылки на обезл.корзину</t>
  </si>
  <si>
    <t>КО</t>
  </si>
  <si>
    <t>Недопустимое событие (КО):</t>
  </si>
  <si>
    <t>Признак жалобы в чек-листе</t>
  </si>
  <si>
    <t>не требуется</t>
  </si>
  <si>
    <t>Создание записи, эскалация вопроса/решение вопроса клиента</t>
  </si>
  <si>
    <t>Кол-во критичных ошибок:</t>
  </si>
  <si>
    <t>Кол-во некритичных ошибок:</t>
  </si>
  <si>
    <t>Результат_4</t>
  </si>
  <si>
    <t>Сверка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</si>
</sst>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  <font>
      <sz val="10"/>
      <name val="Arial Cyr"/>
      <charset val="204"/>
    </font>
    <font>
      <b/>
      <sz val="11"/>
      <color rgb="FFFFFFFF"/>
      <name val="Arial Narrow"/>
      <family val="2"/>
      <charset val="204"/>
    </font>
    <font>
      <b/>
      <sz val="11"/>
      <color rgb="FFFFFFFF"/>
      <name val="Arial Narrow"/>
      <family val="2"/>
      <charset val="204"/>
    </font>
    <font>
      <b/>
      <i/>
      <sz val="11"/>
      <color rgb="FFFFFFFF"/>
      <name val="Arial Narrow"/>
      <family val="2"/>
      <charset val="204"/>
    </font>
    <font>
      <b/>
      <sz val="11"/>
      <color rgb="FF009999"/>
      <name val="Arial Narrow"/>
      <family val="2"/>
      <charset val="204"/>
    </font>
    <font>
      <sz val="10"/>
      <color rgb="FF000000"/>
      <name val="Arial Narrow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sz val="10"/>
      <color rgb="FFFF0000"/>
      <name val="Arial Cyr"/>
      <charset val="204"/>
    </font>
    <font>
      <b/>
      <sz val="11"/>
      <name val="Arial Narrow"/>
      <family val="2"/>
      <charset val="204"/>
    </font>
    <font>
      <b/>
      <sz val="11"/>
      <color theme="0"/>
      <name val="Arial Narrow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scheme val="minor"/>
    </font>
    <font>
      <b/>
      <sz val="16"/>
      <color theme="0"/>
      <name val="Arial Narrow"/>
      <family val="2"/>
      <charset val="204"/>
    </font>
    <font>
      <b/>
      <sz val="16"/>
      <color theme="0"/>
      <name val="Calibri"/>
      <family val="2"/>
      <charset val="204"/>
      <scheme val="minor"/>
    </font>
    <font>
      <i/>
      <u/>
      <sz val="9"/>
      <color indexed="81"/>
      <name val="Tahoma"/>
      <family val="2"/>
      <charset val="204"/>
    </font>
    <font>
      <b/>
      <sz val="12"/>
      <name val="Arial Cyr"/>
      <charset val="204"/>
    </font>
    <font>
      <b/>
      <sz val="8"/>
      <color rgb="FFFFFFFF"/>
      <name val="Arial Narrow"/>
      <family val="2"/>
      <charset val="204"/>
    </font>
    <font>
      <b/>
      <sz val="8"/>
      <color theme="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009999"/>
        <bgColor rgb="FFFFFFFF"/>
      </patternFill>
    </fill>
    <fill>
      <patternFill patternType="solid">
        <fgColor rgb="FF00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CCCC"/>
      </left>
      <right style="thin">
        <color rgb="FF33CCCC"/>
      </right>
      <top style="medium">
        <color rgb="FF33CCCC"/>
      </top>
      <bottom style="thin">
        <color rgb="FF33CCCC"/>
      </bottom>
      <diagonal/>
    </border>
    <border>
      <left style="thin">
        <color rgb="FF33CCCC"/>
      </left>
      <right/>
      <top style="medium">
        <color rgb="FF33CCCC"/>
      </top>
      <bottom style="thin">
        <color rgb="FF33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33CCCC"/>
      </left>
      <right/>
      <top style="thin">
        <color rgb="FF33CCCC"/>
      </top>
      <bottom style="thin">
        <color rgb="FF33CCCC"/>
      </bottom>
      <diagonal/>
    </border>
    <border>
      <left/>
      <right style="thin">
        <color rgb="FF33CCCC"/>
      </right>
      <top style="thin">
        <color rgb="FF33CCCC"/>
      </top>
      <bottom style="thin">
        <color rgb="FF33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33CCCC"/>
      </left>
      <right style="thin">
        <color rgb="FF33CCCC"/>
      </right>
      <top style="thin">
        <color rgb="FF33CCCC"/>
      </top>
      <bottom style="thin">
        <color rgb="FF33CCCC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33CCCC"/>
      </left>
      <right style="medium">
        <color rgb="FF33CCCC"/>
      </right>
      <top style="medium">
        <color rgb="FF33CCCC"/>
      </top>
      <bottom style="medium">
        <color rgb="FF33CCCC"/>
      </bottom>
      <diagonal/>
    </border>
    <border>
      <left style="medium">
        <color rgb="FF33CCCC"/>
      </left>
      <right style="medium">
        <color rgb="FF33CCCC"/>
      </right>
      <top style="medium">
        <color rgb="FF33CCCC"/>
      </top>
      <bottom/>
      <diagonal/>
    </border>
    <border>
      <left style="medium">
        <color rgb="FF33CCCC"/>
      </left>
      <right style="medium">
        <color rgb="FF33CCCC"/>
      </right>
      <top/>
      <bottom/>
      <diagonal/>
    </border>
    <border>
      <left style="medium">
        <color rgb="FF33CCCC"/>
      </left>
      <right style="medium">
        <color rgb="FF33CCCC"/>
      </right>
      <top/>
      <bottom style="medium">
        <color rgb="FF33CCCC"/>
      </bottom>
      <diagonal/>
    </border>
    <border>
      <left style="medium">
        <color rgb="FF33CCCC"/>
      </left>
      <right/>
      <top style="medium">
        <color rgb="FF33CCCC"/>
      </top>
      <bottom/>
      <diagonal/>
    </border>
    <border>
      <left style="medium">
        <color rgb="FF33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10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0" fillId="0" borderId="0" xfId="0" applyFill="1"/>
    <xf numFmtId="0" fontId="7" fillId="0" borderId="0" xfId="0" applyFont="1" applyFill="1"/>
    <xf numFmtId="0" fontId="7" fillId="0" borderId="0" xfId="0" applyFont="1" applyFill="1" applyAlignment="1">
      <alignment horizontal="left" vertical="center"/>
    </xf>
    <xf numFmtId="0" fontId="0" fillId="4" borderId="0" xfId="0" applyFill="1"/>
    <xf numFmtId="0" fontId="1" fillId="0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left"/>
    </xf>
    <xf numFmtId="0" fontId="12" fillId="4" borderId="15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left" wrapText="1"/>
    </xf>
    <xf numFmtId="0" fontId="11" fillId="0" borderId="1" xfId="0" quotePrefix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9" fontId="1" fillId="2" borderId="4" xfId="1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9" fontId="1" fillId="2" borderId="4" xfId="1" applyFont="1" applyFill="1" applyBorder="1" applyAlignment="1">
      <alignment vertical="center" wrapText="1"/>
    </xf>
    <xf numFmtId="9" fontId="0" fillId="0" borderId="0" xfId="1" applyFont="1"/>
    <xf numFmtId="0" fontId="0" fillId="0" borderId="0" xfId="1" applyNumberFormat="1" applyFont="1"/>
    <xf numFmtId="0" fontId="10" fillId="0" borderId="1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wrapText="1"/>
    </xf>
    <xf numFmtId="0" fontId="12" fillId="4" borderId="8" xfId="0" applyFont="1" applyFill="1" applyBorder="1" applyAlignment="1">
      <alignment wrapText="1"/>
    </xf>
    <xf numFmtId="0" fontId="1" fillId="0" borderId="0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9" fontId="1" fillId="5" borderId="4" xfId="1" applyFont="1" applyFill="1" applyBorder="1" applyAlignment="1">
      <alignment vertical="center" wrapText="1"/>
    </xf>
    <xf numFmtId="0" fontId="0" fillId="7" borderId="20" xfId="0" applyFill="1" applyBorder="1"/>
    <xf numFmtId="0" fontId="0" fillId="7" borderId="21" xfId="0" applyFill="1" applyBorder="1"/>
    <xf numFmtId="0" fontId="0" fillId="0" borderId="21" xfId="0" applyFill="1" applyBorder="1"/>
    <xf numFmtId="0" fontId="0" fillId="7" borderId="22" xfId="0" applyFill="1" applyBorder="1"/>
    <xf numFmtId="0" fontId="1" fillId="2" borderId="24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4" fillId="3" borderId="23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9" fontId="1" fillId="2" borderId="24" xfId="1" applyFont="1" applyFill="1" applyBorder="1" applyAlignment="1">
      <alignment vertical="center" wrapText="1"/>
    </xf>
    <xf numFmtId="9" fontId="1" fillId="2" borderId="5" xfId="1" applyFont="1" applyFill="1" applyBorder="1" applyAlignment="1">
      <alignment vertical="center"/>
    </xf>
    <xf numFmtId="9" fontId="1" fillId="2" borderId="5" xfId="1" applyFont="1" applyFill="1" applyBorder="1" applyAlignment="1">
      <alignment vertical="center" wrapText="1"/>
    </xf>
    <xf numFmtId="9" fontId="1" fillId="2" borderId="7" xfId="1" applyFont="1" applyFill="1" applyBorder="1" applyAlignment="1">
      <alignment vertical="center" wrapText="1"/>
    </xf>
    <xf numFmtId="9" fontId="1" fillId="5" borderId="5" xfId="1" applyFont="1" applyFill="1" applyBorder="1" applyAlignment="1">
      <alignment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wrapText="1"/>
    </xf>
    <xf numFmtId="0" fontId="12" fillId="4" borderId="1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/>
    </xf>
    <xf numFmtId="0" fontId="11" fillId="0" borderId="4" xfId="0" applyFont="1" applyFill="1" applyBorder="1" applyAlignment="1">
      <alignment horizontal="center" vertical="center" wrapText="1"/>
    </xf>
    <xf numFmtId="9" fontId="1" fillId="5" borderId="5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34" xfId="0" applyBorder="1"/>
    <xf numFmtId="0" fontId="6" fillId="0" borderId="34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left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0" fontId="16" fillId="4" borderId="35" xfId="1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3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4" borderId="0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3" borderId="2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right" vertical="center"/>
    </xf>
    <xf numFmtId="0" fontId="4" fillId="3" borderId="17" xfId="0" applyFont="1" applyFill="1" applyBorder="1" applyAlignment="1">
      <alignment horizontal="right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37">
    <dxf>
      <font>
        <b/>
        <i val="0"/>
        <sz val="10"/>
        <color rgb="FFC00000"/>
        <name val="Calibri"/>
      </font>
      <numFmt numFmtId="0" formatCode="General"/>
    </dxf>
    <dxf>
      <font>
        <b/>
        <i val="0"/>
        <sz val="10"/>
        <color rgb="FFC00000"/>
        <name val="Calibri"/>
      </font>
      <numFmt numFmtId="0" formatCode="General"/>
    </dxf>
    <dxf>
      <font>
        <b/>
        <i val="0"/>
        <sz val="10"/>
        <color rgb="FFC00000"/>
        <name val="Calibri"/>
      </font>
      <numFmt numFmtId="0" formatCode="General"/>
    </dxf>
    <dxf>
      <font>
        <b/>
        <i val="0"/>
        <sz val="10"/>
        <color rgb="FFC00000"/>
        <name val="Calibri"/>
      </font>
      <numFmt numFmtId="0" formatCode="General"/>
    </dxf>
    <dxf>
      <font>
        <color theme="7" tint="-0.24994659260841701"/>
      </font>
    </dxf>
    <dxf>
      <font>
        <color rgb="FFFF0000"/>
      </font>
    </dxf>
    <dxf>
      <font>
        <color rgb="FFFF0000"/>
      </font>
    </dxf>
    <dxf>
      <font>
        <color theme="7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7" tint="-0.24994659260841701"/>
      </font>
    </dxf>
    <dxf>
      <font>
        <color rgb="FFFF0000"/>
      </font>
    </dxf>
    <dxf>
      <font>
        <color rgb="FFFF0000"/>
      </font>
    </dxf>
    <dxf>
      <font>
        <color theme="7" tint="-0.24994659260841701"/>
      </font>
    </dxf>
    <dxf>
      <font>
        <color rgb="FFFF0000"/>
      </font>
    </dxf>
    <dxf>
      <font>
        <color theme="7" tint="-0.24994659260841701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z val="10"/>
        <color rgb="FFC00000"/>
        <name val="Calibri"/>
      </font>
      <numFmt numFmtId="0" formatCode="General"/>
    </dxf>
    <dxf>
      <font>
        <b/>
        <i val="0"/>
        <color rgb="FF66FFFF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z val="10"/>
        <color rgb="FFC00000"/>
        <name val="Calibri"/>
      </font>
      <numFmt numFmtId="0" formatCode="General"/>
    </dxf>
    <dxf>
      <font>
        <b/>
        <i val="0"/>
        <color rgb="FF66FFFF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</dxf>
    <dxf>
      <font>
        <color theme="7" tint="-0.24994659260841701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CCFFFF"/>
      <color rgb="FF66FFFF"/>
      <color rgb="FF009999"/>
      <color rgb="FFFFFF99"/>
      <color rgb="FF00FFCC"/>
      <color rgb="FF70F0F6"/>
      <color rgb="FF00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gbeq/Desktop/&#1063;&#1077;&#1082;-&#1083;&#1080;&#1089;&#1090;%20&#1075;&#1086;&#1083;&#1086;&#10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Чек-лист голос"/>
      <sheetName val="Легенда"/>
    </sheetNames>
    <sheetDataSet>
      <sheetData sheetId="0" refreshError="1"/>
      <sheetData sheetId="1">
        <row r="2">
          <cell r="A2" t="str">
            <v>Длит: короткий (до 3 мин)</v>
          </cell>
        </row>
        <row r="3">
          <cell r="A3" t="str">
            <v>Длит: средний (3-5 мин)</v>
          </cell>
        </row>
        <row r="4">
          <cell r="A4" t="str">
            <v>Длит: длинный (5-10 мин)</v>
          </cell>
        </row>
        <row r="5">
          <cell r="A5" t="str">
            <v>Длит: затянутый (более 10 мин)</v>
          </cell>
        </row>
        <row r="6">
          <cell r="A6" t="str">
            <v>Критерий: разъединение оператором</v>
          </cell>
        </row>
        <row r="7">
          <cell r="A7" t="str">
            <v>Критерий: холд более 2-х</v>
          </cell>
        </row>
        <row r="8">
          <cell r="A8" t="str">
            <v>Критерий: перевод</v>
          </cell>
        </row>
        <row r="9">
          <cell r="A9" t="str">
            <v>Спецтематика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topLeftCell="B25" zoomScale="60" zoomScaleNormal="60" workbookViewId="0">
      <selection activeCell="A25" sqref="A1:A1048576"/>
    </sheetView>
  </sheetViews>
  <sheetFormatPr defaultRowHeight="14.5" x14ac:dyDescent="0.35"/>
  <cols>
    <col min="1" max="1" width="4.08984375" hidden="1" customWidth="1"/>
    <col min="2" max="2" width="15.453125" customWidth="1"/>
    <col min="3" max="3" width="8.7265625" customWidth="1"/>
    <col min="4" max="4" width="20.36328125" customWidth="1"/>
    <col min="5" max="5" width="44.81640625" customWidth="1"/>
    <col min="6" max="6" width="23.81640625" customWidth="1"/>
    <col min="7" max="7" width="12.453125" customWidth="1"/>
    <col min="8" max="8" width="32" customWidth="1"/>
    <col min="10" max="10" width="52.453125" customWidth="1"/>
    <col min="11" max="11" width="22.453125" customWidth="1"/>
    <col min="12" max="12" width="52.453125" customWidth="1"/>
  </cols>
  <sheetData>
    <row r="1" spans="1:8" ht="17.25" customHeight="1" x14ac:dyDescent="0.35">
      <c r="B1" s="96" t="s">
        <v>17</v>
      </c>
      <c r="C1" s="92" t="s">
        <v>12</v>
      </c>
      <c r="D1" s="99" t="s">
        <v>31</v>
      </c>
      <c r="E1" s="4" t="s">
        <v>13</v>
      </c>
      <c r="F1" s="5" t="s">
        <v>14</v>
      </c>
      <c r="G1" s="101"/>
      <c r="H1" s="102"/>
    </row>
    <row r="2" spans="1:8" ht="17.25" customHeight="1" thickBot="1" x14ac:dyDescent="0.4">
      <c r="B2" s="97"/>
      <c r="C2" s="93"/>
      <c r="D2" s="100"/>
      <c r="E2" s="40" t="s">
        <v>15</v>
      </c>
      <c r="F2" s="41" t="s">
        <v>124</v>
      </c>
      <c r="G2" s="88"/>
      <c r="H2" s="88"/>
    </row>
    <row r="3" spans="1:8" ht="17.25" customHeight="1" thickBot="1" x14ac:dyDescent="0.4">
      <c r="B3" s="98"/>
      <c r="C3" s="53" t="s">
        <v>134</v>
      </c>
      <c r="D3" s="100"/>
      <c r="E3" s="40"/>
      <c r="F3" s="41" t="s">
        <v>71</v>
      </c>
      <c r="G3" s="88"/>
      <c r="H3" s="88"/>
    </row>
    <row r="4" spans="1:8" ht="22.5" customHeight="1" x14ac:dyDescent="0.35">
      <c r="A4">
        <v>3</v>
      </c>
      <c r="B4" s="24">
        <f>SUM(B5:B7)/A4</f>
        <v>1</v>
      </c>
      <c r="C4" s="45"/>
      <c r="D4" s="60">
        <f>SUM(D5:D7)</f>
        <v>3</v>
      </c>
      <c r="E4" s="38" t="s">
        <v>46</v>
      </c>
      <c r="F4" s="39"/>
      <c r="G4" s="103"/>
      <c r="H4" s="104"/>
    </row>
    <row r="5" spans="1:8" ht="22.5" customHeight="1" x14ac:dyDescent="0.35">
      <c r="A5">
        <v>1</v>
      </c>
      <c r="B5" s="20">
        <f>D5</f>
        <v>1</v>
      </c>
      <c r="C5" s="20"/>
      <c r="D5" s="58">
        <f>IF(F5="положительно",1,0)</f>
        <v>1</v>
      </c>
      <c r="E5" s="2" t="s">
        <v>0</v>
      </c>
      <c r="F5" s="17" t="s">
        <v>20</v>
      </c>
      <c r="G5" s="77"/>
      <c r="H5" s="78"/>
    </row>
    <row r="6" spans="1:8" ht="22.5" customHeight="1" x14ac:dyDescent="0.35">
      <c r="A6">
        <v>1</v>
      </c>
      <c r="B6" s="20">
        <f>D6</f>
        <v>1</v>
      </c>
      <c r="C6" s="20"/>
      <c r="D6" s="58">
        <f>IF(OR(F6="положительно",F6="не требуется"),1,0)</f>
        <v>1</v>
      </c>
      <c r="E6" s="2" t="s">
        <v>10</v>
      </c>
      <c r="F6" s="61" t="s">
        <v>20</v>
      </c>
      <c r="G6" s="77"/>
      <c r="H6" s="78"/>
    </row>
    <row r="7" spans="1:8" ht="22.5" customHeight="1" x14ac:dyDescent="0.35">
      <c r="A7">
        <v>1</v>
      </c>
      <c r="B7" s="20">
        <f>D7</f>
        <v>1</v>
      </c>
      <c r="C7" s="20"/>
      <c r="D7" s="58">
        <f>IF(OR(F7="положительно",F7="не требуется"),1,0)</f>
        <v>1</v>
      </c>
      <c r="E7" s="2" t="s">
        <v>142</v>
      </c>
      <c r="F7" s="70" t="s">
        <v>20</v>
      </c>
      <c r="G7" s="68"/>
      <c r="H7" s="69"/>
    </row>
    <row r="8" spans="1:8" ht="22.5" customHeight="1" x14ac:dyDescent="0.35">
      <c r="A8">
        <v>18</v>
      </c>
      <c r="B8" s="22">
        <f>SUM(B9:B14)/A8</f>
        <v>1</v>
      </c>
      <c r="C8" s="46"/>
      <c r="D8" s="56">
        <f>SUM(D9:D14)</f>
        <v>18</v>
      </c>
      <c r="E8" s="31" t="s">
        <v>6</v>
      </c>
      <c r="F8" s="16"/>
      <c r="G8" s="81"/>
      <c r="H8" s="82"/>
    </row>
    <row r="9" spans="1:8" ht="22.5" customHeight="1" x14ac:dyDescent="0.35">
      <c r="A9">
        <v>3</v>
      </c>
      <c r="B9" s="20">
        <f t="shared" ref="B9:B14" si="0">D9</f>
        <v>3</v>
      </c>
      <c r="C9" s="20"/>
      <c r="D9" s="58">
        <f>IF(F9="положительно",3,IF(F9="сомнительно",2,0))</f>
        <v>3</v>
      </c>
      <c r="E9" s="42" t="s">
        <v>7</v>
      </c>
      <c r="F9" s="17" t="s">
        <v>20</v>
      </c>
      <c r="G9" s="77"/>
      <c r="H9" s="78"/>
    </row>
    <row r="10" spans="1:8" ht="22.5" customHeight="1" x14ac:dyDescent="0.35">
      <c r="A10">
        <v>3</v>
      </c>
      <c r="B10" s="20">
        <f t="shared" si="0"/>
        <v>3</v>
      </c>
      <c r="C10" s="20"/>
      <c r="D10" s="58">
        <f t="shared" ref="D10:D14" si="1">IF(F10="положительно",3,IF(F10="сомнительно",2,0))</f>
        <v>3</v>
      </c>
      <c r="E10" s="2" t="s">
        <v>8</v>
      </c>
      <c r="F10" s="17" t="s">
        <v>20</v>
      </c>
      <c r="G10" s="77"/>
      <c r="H10" s="78"/>
    </row>
    <row r="11" spans="1:8" ht="22.5" customHeight="1" x14ac:dyDescent="0.35">
      <c r="A11">
        <v>3</v>
      </c>
      <c r="B11" s="20">
        <f t="shared" si="0"/>
        <v>3</v>
      </c>
      <c r="C11" s="20"/>
      <c r="D11" s="58">
        <f t="shared" si="1"/>
        <v>3</v>
      </c>
      <c r="E11" s="2" t="s">
        <v>9</v>
      </c>
      <c r="F11" s="17" t="s">
        <v>20</v>
      </c>
      <c r="G11" s="77"/>
      <c r="H11" s="78"/>
    </row>
    <row r="12" spans="1:8" ht="22.5" customHeight="1" x14ac:dyDescent="0.35">
      <c r="A12">
        <v>3</v>
      </c>
      <c r="B12" s="20">
        <f t="shared" si="0"/>
        <v>3</v>
      </c>
      <c r="C12" s="20"/>
      <c r="D12" s="58">
        <f t="shared" si="1"/>
        <v>3</v>
      </c>
      <c r="E12" s="2" t="s">
        <v>2</v>
      </c>
      <c r="F12" s="17" t="s">
        <v>20</v>
      </c>
      <c r="G12" s="77"/>
      <c r="H12" s="78"/>
    </row>
    <row r="13" spans="1:8" ht="22.5" customHeight="1" x14ac:dyDescent="0.35">
      <c r="A13">
        <v>3</v>
      </c>
      <c r="B13" s="20">
        <f t="shared" si="0"/>
        <v>3</v>
      </c>
      <c r="C13" s="20"/>
      <c r="D13" s="58">
        <f>IF(OR(F13="положительно",F13="не требуется"),3,IF(F13="сомнительно",2,0))</f>
        <v>3</v>
      </c>
      <c r="E13" s="2" t="s">
        <v>11</v>
      </c>
      <c r="F13" s="17" t="s">
        <v>20</v>
      </c>
      <c r="G13" s="77"/>
      <c r="H13" s="78"/>
    </row>
    <row r="14" spans="1:8" ht="22.5" customHeight="1" x14ac:dyDescent="0.35">
      <c r="A14">
        <v>3</v>
      </c>
      <c r="B14" s="20">
        <f t="shared" si="0"/>
        <v>3</v>
      </c>
      <c r="C14" s="20"/>
      <c r="D14" s="58">
        <f t="shared" si="1"/>
        <v>3</v>
      </c>
      <c r="E14" s="2" t="s">
        <v>45</v>
      </c>
      <c r="F14" s="17" t="s">
        <v>20</v>
      </c>
      <c r="G14" s="77"/>
      <c r="H14" s="78"/>
    </row>
    <row r="15" spans="1:8" ht="22.5" customHeight="1" x14ac:dyDescent="0.35">
      <c r="A15">
        <v>16</v>
      </c>
      <c r="B15" s="24">
        <f>SUM(B16:B17)/A15</f>
        <v>1</v>
      </c>
      <c r="C15" s="47"/>
      <c r="D15" s="57">
        <f>SUM(D16:D17)</f>
        <v>16</v>
      </c>
      <c r="E15" s="32" t="s">
        <v>44</v>
      </c>
      <c r="F15" s="18"/>
      <c r="G15" s="94"/>
      <c r="H15" s="95"/>
    </row>
    <row r="16" spans="1:8" ht="22.5" customHeight="1" x14ac:dyDescent="0.35">
      <c r="A16">
        <v>8</v>
      </c>
      <c r="B16" s="20">
        <f>D16</f>
        <v>8</v>
      </c>
      <c r="C16" s="12" t="str">
        <f>IF(F16="отрицательно","Х","О")</f>
        <v>О</v>
      </c>
      <c r="D16" s="58">
        <f>IF(OR(F16="положительно",F16="не требуется"),8,IF(F16="сомнительно",4,0))</f>
        <v>8</v>
      </c>
      <c r="E16" s="2" t="s">
        <v>4</v>
      </c>
      <c r="F16" s="61" t="s">
        <v>20</v>
      </c>
      <c r="G16" s="77"/>
      <c r="H16" s="78"/>
    </row>
    <row r="17" spans="1:18" ht="22.5" customHeight="1" x14ac:dyDescent="0.35">
      <c r="A17">
        <v>8</v>
      </c>
      <c r="B17" s="20">
        <f>D17</f>
        <v>8</v>
      </c>
      <c r="C17" s="12" t="str">
        <f>IF(F17="отрицательно","Х","О")</f>
        <v>О</v>
      </c>
      <c r="D17" s="58">
        <f>IF(OR(F17="положительно",F17="не требуется"),8,IF(F17="сомнительно",4,0))</f>
        <v>8</v>
      </c>
      <c r="E17" s="2" t="s">
        <v>5</v>
      </c>
      <c r="F17" s="61" t="s">
        <v>20</v>
      </c>
      <c r="G17" s="77"/>
      <c r="H17" s="78"/>
    </row>
    <row r="18" spans="1:18" ht="22.5" customHeight="1" x14ac:dyDescent="0.35">
      <c r="A18">
        <v>6</v>
      </c>
      <c r="B18" s="24">
        <f>B19/6</f>
        <v>1</v>
      </c>
      <c r="C18" s="47"/>
      <c r="D18" s="56">
        <f>D19</f>
        <v>6</v>
      </c>
      <c r="E18" s="1" t="s">
        <v>1</v>
      </c>
      <c r="F18" s="16"/>
      <c r="G18" s="81"/>
      <c r="H18" s="82"/>
    </row>
    <row r="19" spans="1:18" ht="22.5" customHeight="1" x14ac:dyDescent="0.35">
      <c r="A19">
        <v>6</v>
      </c>
      <c r="B19" s="20">
        <f>D19</f>
        <v>6</v>
      </c>
      <c r="C19" s="20"/>
      <c r="D19" s="58">
        <f>IF(OR(F19="положительно",F19="не требуется"),6,IF(F19="сомнительно",3,0))</f>
        <v>6</v>
      </c>
      <c r="E19" s="2" t="s">
        <v>1</v>
      </c>
      <c r="F19" s="61" t="s">
        <v>20</v>
      </c>
      <c r="G19" s="90"/>
      <c r="H19" s="91"/>
    </row>
    <row r="20" spans="1:18" ht="22.5" customHeight="1" x14ac:dyDescent="0.35">
      <c r="A20">
        <f>SUM(A21:A23)</f>
        <v>24</v>
      </c>
      <c r="B20" s="24">
        <f>SUM(B21:B23)/A20</f>
        <v>1</v>
      </c>
      <c r="C20" s="48"/>
      <c r="D20" s="56">
        <f>SUM(D21:D23)</f>
        <v>24</v>
      </c>
      <c r="E20" s="23" t="s">
        <v>3</v>
      </c>
      <c r="F20" s="16"/>
      <c r="G20" s="81"/>
      <c r="H20" s="82"/>
    </row>
    <row r="21" spans="1:18" ht="22.5" customHeight="1" x14ac:dyDescent="0.35">
      <c r="A21">
        <v>8</v>
      </c>
      <c r="B21" s="20">
        <f>D21</f>
        <v>8</v>
      </c>
      <c r="C21" s="12" t="str">
        <f>IF(F21="отрицательно","Х","О")</f>
        <v>О</v>
      </c>
      <c r="D21" s="58">
        <f>IF(OR(F21="положительно",F21="не требуется"),8,IF(F21="сомнительно",4,0))</f>
        <v>8</v>
      </c>
      <c r="E21" s="2" t="s">
        <v>126</v>
      </c>
      <c r="F21" s="61" t="s">
        <v>20</v>
      </c>
      <c r="G21" s="77"/>
      <c r="H21" s="78"/>
    </row>
    <row r="22" spans="1:18" ht="22.5" customHeight="1" x14ac:dyDescent="0.35">
      <c r="A22">
        <v>8</v>
      </c>
      <c r="B22" s="20">
        <f>D22</f>
        <v>8</v>
      </c>
      <c r="C22" s="12" t="str">
        <f t="shared" ref="C22:C23" si="2">IF(F22="отрицательно","Х","О")</f>
        <v>О</v>
      </c>
      <c r="D22" s="58">
        <f>IF(OR(F22="положительно",F22="не требуется"),8,IF(F22="сомнительно",4,0))</f>
        <v>8</v>
      </c>
      <c r="E22" s="2" t="s">
        <v>55</v>
      </c>
      <c r="F22" s="61" t="s">
        <v>137</v>
      </c>
      <c r="G22" s="77"/>
      <c r="H22" s="78"/>
    </row>
    <row r="23" spans="1:18" ht="22.5" customHeight="1" x14ac:dyDescent="0.35">
      <c r="A23">
        <v>8</v>
      </c>
      <c r="B23" s="20">
        <f>D23</f>
        <v>8</v>
      </c>
      <c r="C23" s="12" t="str">
        <f t="shared" si="2"/>
        <v>О</v>
      </c>
      <c r="D23" s="58">
        <f>IF(OR(F23="положительно",F23="не требуется"),8,IF(F23="сомнительно",4,0))</f>
        <v>8</v>
      </c>
      <c r="E23" s="2" t="s">
        <v>138</v>
      </c>
      <c r="F23" s="61" t="s">
        <v>137</v>
      </c>
      <c r="G23" s="77"/>
      <c r="H23" s="78"/>
    </row>
    <row r="24" spans="1:18" ht="22.5" customHeight="1" x14ac:dyDescent="0.35">
      <c r="A24">
        <v>8</v>
      </c>
      <c r="B24" s="33">
        <f>SUM(B25:B26)/A24</f>
        <v>1</v>
      </c>
      <c r="C24" s="52"/>
      <c r="D24" s="56">
        <f>SUM(D25:D26)</f>
        <v>8</v>
      </c>
      <c r="E24" s="50" t="s">
        <v>54</v>
      </c>
      <c r="F24" s="50"/>
      <c r="G24" s="51"/>
      <c r="H24" s="51"/>
    </row>
    <row r="25" spans="1:18" ht="22.5" customHeight="1" x14ac:dyDescent="0.35">
      <c r="A25">
        <v>6</v>
      </c>
      <c r="B25" s="20">
        <f>D25</f>
        <v>6</v>
      </c>
      <c r="C25" s="12" t="str">
        <f>IF(F25="отрицательно","Х","О")</f>
        <v>О</v>
      </c>
      <c r="D25" s="58">
        <f t="shared" ref="D25" si="3">IF(OR(F25="положительно",F25="не требуется"),6,IF(F25="сомнительно",3,0))</f>
        <v>6</v>
      </c>
      <c r="E25" s="2" t="s">
        <v>56</v>
      </c>
      <c r="F25" s="61" t="s">
        <v>20</v>
      </c>
      <c r="G25" s="77"/>
      <c r="H25" s="78"/>
    </row>
    <row r="26" spans="1:18" ht="22.5" customHeight="1" x14ac:dyDescent="0.35">
      <c r="A26">
        <v>2</v>
      </c>
      <c r="B26" s="20">
        <f>D26</f>
        <v>2</v>
      </c>
      <c r="C26" s="20"/>
      <c r="D26" s="58">
        <f>IF(F26="положительно",2,IF(F26="сомнительно",1,0))</f>
        <v>2</v>
      </c>
      <c r="E26" s="2" t="s">
        <v>47</v>
      </c>
      <c r="F26" s="17" t="s">
        <v>20</v>
      </c>
      <c r="G26" s="77"/>
      <c r="H26" s="78"/>
    </row>
    <row r="27" spans="1:18" ht="22.5" customHeight="1" x14ac:dyDescent="0.35">
      <c r="A27">
        <v>16</v>
      </c>
      <c r="B27" s="24">
        <f>SUM(B28:B31)/A27</f>
        <v>1</v>
      </c>
      <c r="C27" s="47"/>
      <c r="D27" s="56">
        <f>SUM(D28:D31)</f>
        <v>16</v>
      </c>
      <c r="E27" s="21" t="s">
        <v>125</v>
      </c>
      <c r="F27" s="31"/>
      <c r="G27" s="21"/>
      <c r="H27" s="21"/>
    </row>
    <row r="28" spans="1:18" ht="22.5" customHeight="1" x14ac:dyDescent="0.35">
      <c r="B28" s="20">
        <f t="shared" ref="B28:B31" si="4">D28</f>
        <v>4</v>
      </c>
      <c r="C28" s="20"/>
      <c r="D28" s="58">
        <f>IF(OR(F28="положительно",F28="не требуется"),4,IF(F28="сомнительно",2,0))</f>
        <v>4</v>
      </c>
      <c r="E28" s="2" t="s">
        <v>130</v>
      </c>
      <c r="F28" s="61" t="s">
        <v>20</v>
      </c>
      <c r="G28" s="77"/>
      <c r="H28" s="78"/>
    </row>
    <row r="29" spans="1:18" ht="22.5" customHeight="1" x14ac:dyDescent="0.35">
      <c r="B29" s="20">
        <f t="shared" si="4"/>
        <v>4</v>
      </c>
      <c r="C29" s="20"/>
      <c r="D29" s="58">
        <f>IF(OR(F29="положительно",F29="не требуется"),4,IF(F29="сомнительно",2,0))</f>
        <v>4</v>
      </c>
      <c r="E29" s="43" t="s">
        <v>131</v>
      </c>
      <c r="F29" s="61" t="s">
        <v>20</v>
      </c>
      <c r="G29" s="77"/>
      <c r="H29" s="78"/>
    </row>
    <row r="30" spans="1:18" ht="22.5" customHeight="1" x14ac:dyDescent="0.35">
      <c r="B30" s="20">
        <f t="shared" si="4"/>
        <v>4</v>
      </c>
      <c r="C30" s="20"/>
      <c r="D30" s="58">
        <f>IF(OR(F30="положительно",F30="не требуется"),4,IF(F30="сомнительно",2,0))</f>
        <v>4</v>
      </c>
      <c r="E30" s="43" t="s">
        <v>132</v>
      </c>
      <c r="F30" s="61" t="s">
        <v>20</v>
      </c>
      <c r="G30" s="77"/>
      <c r="H30" s="78"/>
    </row>
    <row r="31" spans="1:18" ht="22.5" customHeight="1" x14ac:dyDescent="0.35">
      <c r="B31" s="20">
        <f t="shared" si="4"/>
        <v>4</v>
      </c>
      <c r="C31" s="20"/>
      <c r="D31" s="58">
        <f>IF(OR(F31="положительно",F31="не требуется"),4,IF(F31="сомнительно",2,0))</f>
        <v>4</v>
      </c>
      <c r="E31" s="43" t="s">
        <v>133</v>
      </c>
      <c r="F31" s="61" t="s">
        <v>20</v>
      </c>
      <c r="G31" s="77"/>
      <c r="H31" s="78"/>
    </row>
    <row r="32" spans="1:18" ht="22.5" customHeight="1" x14ac:dyDescent="0.35">
      <c r="B32" s="33" t="str">
        <f>IF(OR(D34=0),0,IF(OR(D33=100),1,IF(OR(D34=""),"",IF(OR(D33=""),""))))</f>
        <v/>
      </c>
      <c r="C32" s="49"/>
      <c r="D32" s="49"/>
      <c r="E32" s="31" t="s">
        <v>60</v>
      </c>
      <c r="F32" s="16"/>
      <c r="G32" s="81"/>
      <c r="H32" s="82"/>
      <c r="L32" s="89"/>
      <c r="M32" s="89"/>
      <c r="N32" s="89"/>
      <c r="O32" s="89"/>
      <c r="P32" s="30"/>
      <c r="Q32" s="89"/>
      <c r="R32" s="89"/>
    </row>
    <row r="33" spans="2:8" ht="22.5" customHeight="1" x14ac:dyDescent="0.35">
      <c r="B33" s="15"/>
      <c r="C33" s="15"/>
      <c r="D33" s="58" t="str">
        <f>IF(F33="Обнаружено",100,"")</f>
        <v/>
      </c>
      <c r="E33" s="2" t="s">
        <v>48</v>
      </c>
      <c r="F33" s="17" t="s">
        <v>33</v>
      </c>
      <c r="G33" s="83"/>
      <c r="H33" s="83"/>
    </row>
    <row r="34" spans="2:8" ht="22.5" customHeight="1" x14ac:dyDescent="0.35">
      <c r="B34" s="62"/>
      <c r="C34" s="63" t="str">
        <f>IF(F34="Обнаружено","КО","ОК")</f>
        <v>ОК</v>
      </c>
      <c r="D34" s="64" t="str">
        <f>IF(F34="обнаружено",0,"")</f>
        <v/>
      </c>
      <c r="E34" s="65" t="s">
        <v>59</v>
      </c>
      <c r="F34" s="66" t="s">
        <v>33</v>
      </c>
      <c r="G34" s="84"/>
      <c r="H34" s="85"/>
    </row>
    <row r="35" spans="2:8" ht="22.5" customHeight="1" x14ac:dyDescent="0.35">
      <c r="B35" s="3"/>
      <c r="C35" s="12" t="str">
        <f>IF(F35="Обнаружено","✔","")</f>
        <v/>
      </c>
      <c r="D35" s="58"/>
      <c r="E35" s="2" t="s">
        <v>136</v>
      </c>
      <c r="F35" s="44" t="s">
        <v>33</v>
      </c>
      <c r="G35" s="86"/>
      <c r="H35" s="87"/>
    </row>
    <row r="36" spans="2:8" ht="22.5" customHeight="1" x14ac:dyDescent="0.35">
      <c r="B36" s="33">
        <f>IF(OR(D37=0,D38=0,D39=0,D40=0),0,100%)</f>
        <v>1</v>
      </c>
      <c r="C36" s="49"/>
      <c r="D36" s="59"/>
      <c r="E36" s="31" t="s">
        <v>26</v>
      </c>
      <c r="F36" s="16"/>
      <c r="G36" s="81"/>
      <c r="H36" s="82"/>
    </row>
    <row r="37" spans="2:8" ht="22.5" customHeight="1" x14ac:dyDescent="0.35">
      <c r="B37" s="10" t="str">
        <f>D37</f>
        <v/>
      </c>
      <c r="C37" s="12" t="str">
        <f>IF(F37="Обнаружено","КО","ОК")</f>
        <v>ОК</v>
      </c>
      <c r="D37" s="58" t="str">
        <f>IF(F37="обнаружено",0,"")</f>
        <v/>
      </c>
      <c r="E37" s="11" t="s">
        <v>27</v>
      </c>
      <c r="F37" s="27" t="s">
        <v>33</v>
      </c>
      <c r="G37" s="77"/>
      <c r="H37" s="78"/>
    </row>
    <row r="38" spans="2:8" ht="22.5" customHeight="1" x14ac:dyDescent="0.35">
      <c r="B38" s="10" t="str">
        <f>D38</f>
        <v/>
      </c>
      <c r="C38" s="12" t="str">
        <f t="shared" ref="C38:C40" si="5">IF(F38="Обнаружено","КО","ОК")</f>
        <v>ОК</v>
      </c>
      <c r="D38" s="58" t="str">
        <f>IF(F38="обнаружено",0,"")</f>
        <v/>
      </c>
      <c r="E38" s="11" t="s">
        <v>28</v>
      </c>
      <c r="F38" s="27" t="s">
        <v>33</v>
      </c>
      <c r="G38" s="77"/>
      <c r="H38" s="78"/>
    </row>
    <row r="39" spans="2:8" ht="22.5" customHeight="1" x14ac:dyDescent="0.35">
      <c r="B39" s="10" t="str">
        <f>D39</f>
        <v/>
      </c>
      <c r="C39" s="12" t="str">
        <f t="shared" si="5"/>
        <v>ОК</v>
      </c>
      <c r="D39" s="58" t="str">
        <f>IF(F39="обнаружено",0,"")</f>
        <v/>
      </c>
      <c r="E39" s="11" t="s">
        <v>29</v>
      </c>
      <c r="F39" s="27" t="s">
        <v>33</v>
      </c>
      <c r="G39" s="77"/>
      <c r="H39" s="78"/>
    </row>
    <row r="40" spans="2:8" ht="22.5" customHeight="1" x14ac:dyDescent="0.35">
      <c r="B40" s="10" t="str">
        <f>D40</f>
        <v/>
      </c>
      <c r="C40" s="12" t="str">
        <f t="shared" si="5"/>
        <v>ОК</v>
      </c>
      <c r="D40" s="58" t="str">
        <f>IF(F40="обнаружено",0,"")</f>
        <v/>
      </c>
      <c r="E40" s="11" t="s">
        <v>30</v>
      </c>
      <c r="F40" s="27" t="s">
        <v>33</v>
      </c>
      <c r="G40" s="77"/>
      <c r="H40" s="78"/>
    </row>
    <row r="41" spans="2:8" ht="39" customHeight="1" x14ac:dyDescent="0.35">
      <c r="B41" s="75" t="s">
        <v>49</v>
      </c>
      <c r="C41" s="75"/>
      <c r="D41" s="71">
        <f>IF(OR(D37=0,D38=0,D39=0,D40=0,D34=0),0,IF(D33=100,1,SUM(D4,D8,D18,D20,D15,D24,D27)/91))</f>
        <v>1</v>
      </c>
      <c r="E41" s="9"/>
      <c r="F41" s="14" t="s">
        <v>50</v>
      </c>
      <c r="G41" s="79"/>
      <c r="H41" s="80"/>
    </row>
    <row r="42" spans="2:8" ht="18" customHeight="1" x14ac:dyDescent="0.35">
      <c r="B42" s="76"/>
      <c r="C42" s="76"/>
      <c r="D42" s="67" t="str">
        <f>IF(D41&lt;=82%,"недопустимо",IF(D41&gt;=96%,"отлично",IF(D41&gt;=93%,"хорошо","неприемлемо")))</f>
        <v>отлично</v>
      </c>
      <c r="E42" s="9"/>
      <c r="F42" s="13" t="s">
        <v>51</v>
      </c>
      <c r="G42" s="73"/>
      <c r="H42" s="74"/>
    </row>
    <row r="43" spans="2:8" ht="28.5" customHeight="1" x14ac:dyDescent="0.35">
      <c r="B43" s="72"/>
      <c r="C43" s="72"/>
      <c r="D43" s="54"/>
      <c r="E43" s="9"/>
      <c r="F43" s="13" t="s">
        <v>52</v>
      </c>
      <c r="G43" s="73"/>
      <c r="H43" s="74"/>
    </row>
    <row r="44" spans="2:8" ht="18" customHeight="1" x14ac:dyDescent="0.35">
      <c r="B44" s="72" t="s">
        <v>139</v>
      </c>
      <c r="C44" s="72"/>
      <c r="D44" s="55">
        <f>COUNTIF(F16:F17,"отрицательно")+COUNTIF(F21:F23,"отрицательно")+COUNTIF(F25,"отрицательно")+COUNTIF(F37:F40,"обнаружено")</f>
        <v>0</v>
      </c>
      <c r="E44" s="9"/>
      <c r="F44" s="13" t="s">
        <v>53</v>
      </c>
      <c r="G44" s="73"/>
      <c r="H44" s="74"/>
    </row>
    <row r="45" spans="2:8" ht="18" customHeight="1" x14ac:dyDescent="0.35">
      <c r="B45" s="72" t="s">
        <v>140</v>
      </c>
      <c r="C45" s="72"/>
      <c r="D45" s="55">
        <f>COUNTIF(F5:F6,"отрицательно")+COUNTIF(F5:F6,"сомнительно")+COUNTIF(F9:F14,"отрицательно")+COUNTIF(F9:F14,"сомнительно")+COUNTIF(F19,"сомнительно")+COUNTIF(F19,"отрицательно")+COUNTIF(F16:F17,"сомнительно")+COUNTIF(F21:F23,"сомнительно")+COUNTIF(F25,"сомнительно")+COUNTIF(F26,"сомнительно")+COUNTIF(F26,"отрицательно")+COUNTIF(F28:F31,"отрицательно")+COUNTIF(F28:F31,"сомнительно")</f>
        <v>0</v>
      </c>
      <c r="E45" s="9"/>
      <c r="F45" s="19" t="s">
        <v>57</v>
      </c>
      <c r="G45" s="28"/>
      <c r="H45" s="29"/>
    </row>
    <row r="46" spans="2:8" ht="19.5" customHeight="1" x14ac:dyDescent="0.35">
      <c r="B46" s="72" t="s">
        <v>135</v>
      </c>
      <c r="C46" s="72"/>
      <c r="D46" s="55">
        <f>IF(OR(F37="обнаружено",F38="обнаружено",F39="обнаружено",F40="обнаружено"),COUNTIF($F$37:$F$40,"обнаружено"),0)</f>
        <v>0</v>
      </c>
      <c r="E46" s="9"/>
      <c r="F46" s="19" t="s">
        <v>58</v>
      </c>
      <c r="G46" s="73"/>
      <c r="H46" s="74"/>
    </row>
    <row r="48" spans="2:8" x14ac:dyDescent="0.35">
      <c r="B48" s="25"/>
      <c r="C48" s="25"/>
      <c r="D48" s="25"/>
    </row>
    <row r="50" spans="2:4" x14ac:dyDescent="0.35">
      <c r="B50" s="26"/>
      <c r="C50" s="26"/>
      <c r="D50" s="26"/>
    </row>
  </sheetData>
  <mergeCells count="52">
    <mergeCell ref="C1:C2"/>
    <mergeCell ref="G15:H15"/>
    <mergeCell ref="G16:H16"/>
    <mergeCell ref="G17:H17"/>
    <mergeCell ref="B1:B3"/>
    <mergeCell ref="D1:D3"/>
    <mergeCell ref="G12:H12"/>
    <mergeCell ref="G11:H11"/>
    <mergeCell ref="G1:H1"/>
    <mergeCell ref="G2:H2"/>
    <mergeCell ref="G4:H4"/>
    <mergeCell ref="G5:H5"/>
    <mergeCell ref="G6:H6"/>
    <mergeCell ref="G10:H10"/>
    <mergeCell ref="G8:H8"/>
    <mergeCell ref="G9:H9"/>
    <mergeCell ref="G3:H3"/>
    <mergeCell ref="Q32:R32"/>
    <mergeCell ref="G13:H13"/>
    <mergeCell ref="G14:H14"/>
    <mergeCell ref="G18:H18"/>
    <mergeCell ref="G19:H19"/>
    <mergeCell ref="L32:O32"/>
    <mergeCell ref="G20:H20"/>
    <mergeCell ref="G21:H21"/>
    <mergeCell ref="G28:H28"/>
    <mergeCell ref="G29:H29"/>
    <mergeCell ref="G40:H40"/>
    <mergeCell ref="G22:H22"/>
    <mergeCell ref="G23:H23"/>
    <mergeCell ref="G36:H36"/>
    <mergeCell ref="G30:H30"/>
    <mergeCell ref="G33:H33"/>
    <mergeCell ref="G34:H34"/>
    <mergeCell ref="G32:H32"/>
    <mergeCell ref="G35:H35"/>
    <mergeCell ref="B46:C46"/>
    <mergeCell ref="G46:H46"/>
    <mergeCell ref="B41:C42"/>
    <mergeCell ref="B45:C45"/>
    <mergeCell ref="G25:H25"/>
    <mergeCell ref="G26:H26"/>
    <mergeCell ref="G31:H31"/>
    <mergeCell ref="B44:C44"/>
    <mergeCell ref="G41:H41"/>
    <mergeCell ref="G42:H42"/>
    <mergeCell ref="G43:H43"/>
    <mergeCell ref="G44:H44"/>
    <mergeCell ref="B43:C43"/>
    <mergeCell ref="G37:H37"/>
    <mergeCell ref="G38:H38"/>
    <mergeCell ref="G39:H39"/>
  </mergeCells>
  <conditionalFormatting sqref="F26 F32:F40 F5:F7">
    <cfRule type="containsText" dxfId="36" priority="95" operator="containsText" text="отрицательно">
      <formula>NOT(ISERROR(SEARCH("отрицательно",F5)))</formula>
    </cfRule>
  </conditionalFormatting>
  <conditionalFormatting sqref="F9:F14">
    <cfRule type="containsText" dxfId="35" priority="94" operator="containsText" text="отрицательно">
      <formula>NOT(ISERROR(SEARCH("отрицательно",F9)))</formula>
    </cfRule>
  </conditionalFormatting>
  <conditionalFormatting sqref="F26 F18 F32:F40 F20 F5:F14">
    <cfRule type="containsText" dxfId="34" priority="89" operator="containsText" text="сомнительно">
      <formula>NOT(ISERROR(SEARCH("сомнительно",F5)))</formula>
    </cfRule>
  </conditionalFormatting>
  <conditionalFormatting sqref="F37:F40">
    <cfRule type="containsText" dxfId="33" priority="88" operator="containsText" text="не">
      <formula>NOT(ISERROR(SEARCH("не",F37)))</formula>
    </cfRule>
  </conditionalFormatting>
  <conditionalFormatting sqref="D42">
    <cfRule type="containsText" dxfId="32" priority="81" operator="containsText" text="отлично">
      <formula>NOT(ISERROR(SEARCH("отлично",D42)))</formula>
    </cfRule>
    <cfRule type="containsText" dxfId="31" priority="83" operator="containsText" text="неприемлемо">
      <formula>NOT(ISERROR(SEARCH("неприемлемо",D42)))</formula>
    </cfRule>
    <cfRule type="containsText" dxfId="30" priority="84" operator="containsText" text="недопустимо">
      <formula>NOT(ISERROR(SEARCH("недопустимо",D42)))</formula>
    </cfRule>
  </conditionalFormatting>
  <conditionalFormatting sqref="C37:C40">
    <cfRule type="containsText" dxfId="29" priority="49" operator="containsText" text="ОК">
      <formula>NOT(ISERROR(SEARCH("ОК",C37)))</formula>
    </cfRule>
    <cfRule type="containsText" dxfId="28" priority="50" operator="containsText" text="ОК">
      <formula>NOT(ISERROR(SEARCH("ОК",C37)))</formula>
    </cfRule>
    <cfRule type="containsText" dxfId="27" priority="185" operator="containsText" text="Х">
      <formula>NOT(ISERROR(SEARCH("Х",#REF!)))</formula>
    </cfRule>
  </conditionalFormatting>
  <conditionalFormatting sqref="C37:C40">
    <cfRule type="containsText" dxfId="26" priority="57" operator="containsText" text="Х">
      <formula>NOT(ISERROR(SEARCH("Х",C37)))</formula>
    </cfRule>
    <cfRule type="containsText" dxfId="25" priority="58" operator="containsText" text="О">
      <formula>NOT(ISERROR(SEARCH("О",C37)))</formula>
    </cfRule>
  </conditionalFormatting>
  <conditionalFormatting sqref="C34:C40">
    <cfRule type="containsText" dxfId="24" priority="44" operator="containsText" text="ОК">
      <formula>NOT(ISERROR(SEARCH("ОК",C34)))</formula>
    </cfRule>
    <cfRule type="containsText" dxfId="23" priority="45" operator="containsText" text="ОК">
      <formula>NOT(ISERROR(SEARCH("ОК",C34)))</formula>
    </cfRule>
    <cfRule type="containsText" dxfId="22" priority="48" operator="containsText" text="Х">
      <formula>NOT(ISERROR(SEARCH("Х",#REF!)))</formula>
    </cfRule>
  </conditionalFormatting>
  <conditionalFormatting sqref="C34:C40">
    <cfRule type="containsText" dxfId="21" priority="46" operator="containsText" text="Х">
      <formula>NOT(ISERROR(SEARCH("Х",C34)))</formula>
    </cfRule>
    <cfRule type="containsText" dxfId="20" priority="47" operator="containsText" text="О">
      <formula>NOT(ISERROR(SEARCH("О",C34)))</formula>
    </cfRule>
  </conditionalFormatting>
  <conditionalFormatting sqref="C35:C40">
    <cfRule type="containsText" dxfId="19" priority="30" operator="containsText" text="✔">
      <formula>NOT(ISERROR(SEARCH("✔",C35)))</formula>
    </cfRule>
  </conditionalFormatting>
  <conditionalFormatting sqref="F15:F17">
    <cfRule type="containsText" dxfId="18" priority="29" operator="containsText" text="отрицательно">
      <formula>NOT(ISERROR(SEARCH("отрицательно",F15)))</formula>
    </cfRule>
  </conditionalFormatting>
  <conditionalFormatting sqref="F16:F17">
    <cfRule type="containsText" dxfId="17" priority="28" operator="containsText" text="отрицательно">
      <formula>NOT(ISERROR(SEARCH("отрицательно",F16)))</formula>
    </cfRule>
  </conditionalFormatting>
  <conditionalFormatting sqref="F15:F17">
    <cfRule type="containsText" dxfId="16" priority="27" operator="containsText" text="сомнительно">
      <formula>NOT(ISERROR(SEARCH("сомнительно",F15)))</formula>
    </cfRule>
  </conditionalFormatting>
  <conditionalFormatting sqref="F28:F31">
    <cfRule type="containsText" dxfId="15" priority="11" operator="containsText" text="отрицательно">
      <formula>NOT(ISERROR(SEARCH("отрицательно",F28)))</formula>
    </cfRule>
  </conditionalFormatting>
  <conditionalFormatting sqref="F28:F31">
    <cfRule type="containsText" dxfId="14" priority="10" operator="containsText" text="сомнительно">
      <formula>NOT(ISERROR(SEARCH("сомнительно",F28)))</formula>
    </cfRule>
  </conditionalFormatting>
  <conditionalFormatting sqref="F19">
    <cfRule type="containsText" dxfId="13" priority="24" operator="containsText" text="отрицательно">
      <formula>NOT(ISERROR(SEARCH("отрицательно",F19)))</formula>
    </cfRule>
  </conditionalFormatting>
  <conditionalFormatting sqref="F19">
    <cfRule type="containsText" dxfId="12" priority="23" operator="containsText" text="отрицательно">
      <formula>NOT(ISERROR(SEARCH("отрицательно",F19)))</formula>
    </cfRule>
  </conditionalFormatting>
  <conditionalFormatting sqref="F19">
    <cfRule type="containsText" dxfId="11" priority="22" operator="containsText" text="сомнительно">
      <formula>NOT(ISERROR(SEARCH("сомнительно",F19)))</formula>
    </cfRule>
  </conditionalFormatting>
  <conditionalFormatting sqref="F28:F31">
    <cfRule type="containsText" dxfId="10" priority="12" operator="containsText" text="отрицательно">
      <formula>NOT(ISERROR(SEARCH("отрицательно",F28)))</formula>
    </cfRule>
  </conditionalFormatting>
  <conditionalFormatting sqref="F21:F23">
    <cfRule type="containsText" dxfId="9" priority="18" operator="containsText" text="отрицательно">
      <formula>NOT(ISERROR(SEARCH("отрицательно",F21)))</formula>
    </cfRule>
  </conditionalFormatting>
  <conditionalFormatting sqref="F21:F23">
    <cfRule type="containsText" dxfId="8" priority="17" operator="containsText" text="отрицательно">
      <formula>NOT(ISERROR(SEARCH("отрицательно",F21)))</formula>
    </cfRule>
  </conditionalFormatting>
  <conditionalFormatting sqref="F21:F23">
    <cfRule type="containsText" dxfId="7" priority="16" operator="containsText" text="сомнительно">
      <formula>NOT(ISERROR(SEARCH("сомнительно",F21)))</formula>
    </cfRule>
  </conditionalFormatting>
  <conditionalFormatting sqref="F25">
    <cfRule type="containsText" dxfId="6" priority="15" operator="containsText" text="отрицательно">
      <formula>NOT(ISERROR(SEARCH("отрицательно",F25)))</formula>
    </cfRule>
  </conditionalFormatting>
  <conditionalFormatting sqref="F25">
    <cfRule type="containsText" dxfId="5" priority="14" operator="containsText" text="отрицательно">
      <formula>NOT(ISERROR(SEARCH("отрицательно",F25)))</formula>
    </cfRule>
  </conditionalFormatting>
  <conditionalFormatting sqref="F25">
    <cfRule type="containsText" dxfId="4" priority="13" operator="containsText" text="сомнительно">
      <formula>NOT(ISERROR(SEARCH("сомнительно",F25)))</formula>
    </cfRule>
  </conditionalFormatting>
  <conditionalFormatting sqref="C25">
    <cfRule type="containsText" dxfId="3" priority="4" operator="containsText" text="Х">
      <formula>NOT(ISERROR(SEARCH("Х",C25:C33)))</formula>
    </cfRule>
  </conditionalFormatting>
  <conditionalFormatting sqref="C21:C23">
    <cfRule type="containsText" dxfId="2" priority="3" operator="containsText" text="Х">
      <formula>NOT(ISERROR(SEARCH("Х",C21:C29)))</formula>
    </cfRule>
  </conditionalFormatting>
  <conditionalFormatting sqref="C16">
    <cfRule type="containsText" dxfId="1" priority="2" operator="containsText" text="Х">
      <formula>NOT(ISERROR(SEARCH("Х",C16:C24)))</formula>
    </cfRule>
  </conditionalFormatting>
  <conditionalFormatting sqref="C17">
    <cfRule type="containsText" dxfId="0" priority="1" operator="containsText" text="Х">
      <formula>NOT(ISERROR(SEARCH("Х",C17:C25)))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4BB138F-FC51-4AC5-A605-E4C1579A099C}">
          <x14:formula1>
            <xm:f>Легенда!$C$2:$C$4</xm:f>
          </x14:formula1>
          <xm:sqref>F14:F15 F36 F32 F9:F12 F26 F21</xm:sqref>
        </x14:dataValidation>
        <x14:dataValidation type="list" allowBlank="1" showInputMessage="1" showErrorMessage="1" xr:uid="{80AB261B-DD3F-47CD-AFA5-3DC903BA0952}">
          <x14:formula1>
            <xm:f>Легенда!$A$2:$A$5</xm:f>
          </x14:formula1>
          <xm:sqref>G1:H1</xm:sqref>
        </x14:dataValidation>
        <x14:dataValidation type="list" allowBlank="1" showInputMessage="1" showErrorMessage="1" xr:uid="{B1239E7F-1D83-4899-8A9F-8F82061991E8}">
          <x14:formula1>
            <xm:f>Легенда!$C$7:$C$8</xm:f>
          </x14:formula1>
          <xm:sqref>F33:F40</xm:sqref>
        </x14:dataValidation>
        <x14:dataValidation type="list" allowBlank="1" showInputMessage="1" showErrorMessage="1" xr:uid="{3E27E3ED-2DC6-41F1-A8BF-201219C93465}">
          <x14:formula1>
            <xm:f>Легенда!$A$8:$A$25</xm:f>
          </x14:formula1>
          <xm:sqref>G2:H2</xm:sqref>
        </x14:dataValidation>
        <x14:dataValidation type="list" allowBlank="1" showInputMessage="1" showErrorMessage="1" xr:uid="{2F52BA69-CDA0-4FA1-8FA7-BC96A4D66567}">
          <x14:formula1>
            <xm:f>Легенда!$A$28:$A$83</xm:f>
          </x14:formula1>
          <xm:sqref>G3:H3</xm:sqref>
        </x14:dataValidation>
        <x14:dataValidation type="list" allowBlank="1" showInputMessage="1" showErrorMessage="1" xr:uid="{B358EBC8-3958-4296-BF75-0A14C21AE495}">
          <x14:formula1>
            <xm:f>Легенда!$E$2:$E$3</xm:f>
          </x14:formula1>
          <xm:sqref>F33:F40</xm:sqref>
        </x14:dataValidation>
        <x14:dataValidation type="list" allowBlank="1" showInputMessage="1" showErrorMessage="1" xr:uid="{D2E7520F-9BA0-4387-B5CB-2D2E7EF2AE75}">
          <x14:formula1>
            <xm:f>Легенда!$F$2:$F$3</xm:f>
          </x14:formula1>
          <xm:sqref>F32:F40 F5</xm:sqref>
        </x14:dataValidation>
        <x14:dataValidation type="list" allowBlank="1" showInputMessage="1" showErrorMessage="1" xr:uid="{EB10659D-7315-4E0F-8B01-B2D579B18932}">
          <x14:formula1>
            <xm:f>Легенда!$C$2:$C$5</xm:f>
          </x14:formula1>
          <xm:sqref>F28:F31 F9 F13 F16:F17 F19 F21:F23 F25</xm:sqref>
        </x14:dataValidation>
        <x14:dataValidation type="list" allowBlank="1" showInputMessage="1" showErrorMessage="1" xr:uid="{EB549AC4-151D-41D9-971D-BCE330D7864E}">
          <x14:formula1>
            <xm:f>Легенда!$G$2:$G$4</xm:f>
          </x14:formula1>
          <xm:sqref>F6:F7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ACCE-DA51-4F09-BED7-B024EC8702EE}">
  <dimension ref="A1:G83"/>
  <sheetViews>
    <sheetView zoomScale="120" zoomScaleNormal="120" workbookViewId="0">
      <selection activeCell="G5" sqref="G5"/>
    </sheetView>
  </sheetViews>
  <sheetFormatPr defaultColWidth="14.1796875" defaultRowHeight="14.5" x14ac:dyDescent="0.35"/>
  <cols>
    <col min="1" max="1" width="29.453125" style="7" customWidth="1"/>
    <col min="2" max="2" width="3.54296875" style="7" customWidth="1"/>
    <col min="3" max="3" width="14.1796875" style="7"/>
    <col min="4" max="4" width="4.453125" style="7" customWidth="1"/>
    <col min="5" max="5" width="14.1796875" style="7"/>
    <col min="6" max="6" width="14.1796875" style="6"/>
    <col min="7" max="7" width="29.453125" style="6" customWidth="1"/>
    <col min="8" max="16384" width="14.1796875" style="6"/>
  </cols>
  <sheetData>
    <row r="1" spans="1:7" x14ac:dyDescent="0.35">
      <c r="A1" s="7" t="s">
        <v>18</v>
      </c>
      <c r="C1" s="7" t="s">
        <v>129</v>
      </c>
      <c r="E1" s="7" t="s">
        <v>127</v>
      </c>
      <c r="F1" s="7" t="s">
        <v>128</v>
      </c>
      <c r="G1" s="7" t="s">
        <v>141</v>
      </c>
    </row>
    <row r="2" spans="1:7" x14ac:dyDescent="0.35">
      <c r="A2" s="8" t="s">
        <v>19</v>
      </c>
      <c r="C2" s="7" t="s">
        <v>20</v>
      </c>
      <c r="E2" s="7" t="s">
        <v>32</v>
      </c>
      <c r="F2" s="7" t="s">
        <v>20</v>
      </c>
      <c r="G2" s="7" t="s">
        <v>20</v>
      </c>
    </row>
    <row r="3" spans="1:7" x14ac:dyDescent="0.35">
      <c r="A3" s="8" t="s">
        <v>21</v>
      </c>
      <c r="C3" s="7" t="s">
        <v>22</v>
      </c>
      <c r="E3" s="7" t="s">
        <v>33</v>
      </c>
      <c r="F3" s="7" t="s">
        <v>23</v>
      </c>
      <c r="G3" s="7" t="s">
        <v>23</v>
      </c>
    </row>
    <row r="4" spans="1:7" x14ac:dyDescent="0.35">
      <c r="A4" s="8" t="s">
        <v>24</v>
      </c>
      <c r="C4" s="7" t="s">
        <v>23</v>
      </c>
      <c r="G4" s="7" t="s">
        <v>137</v>
      </c>
    </row>
    <row r="5" spans="1:7" x14ac:dyDescent="0.35">
      <c r="A5" s="8" t="s">
        <v>25</v>
      </c>
      <c r="C5" s="7" t="s">
        <v>137</v>
      </c>
    </row>
    <row r="6" spans="1:7" x14ac:dyDescent="0.35">
      <c r="A6" s="8"/>
    </row>
    <row r="7" spans="1:7" x14ac:dyDescent="0.35">
      <c r="A7" s="7" t="s">
        <v>16</v>
      </c>
      <c r="C7" s="7" t="s">
        <v>32</v>
      </c>
      <c r="E7" s="7">
        <v>2</v>
      </c>
      <c r="G7" s="7"/>
    </row>
    <row r="8" spans="1:7" x14ac:dyDescent="0.35">
      <c r="A8" s="34" t="s">
        <v>61</v>
      </c>
      <c r="C8" s="7" t="s">
        <v>33</v>
      </c>
      <c r="E8" s="7">
        <v>1</v>
      </c>
      <c r="G8" s="7"/>
    </row>
    <row r="9" spans="1:7" x14ac:dyDescent="0.35">
      <c r="A9" s="35" t="s">
        <v>41</v>
      </c>
      <c r="E9" s="7">
        <v>0</v>
      </c>
      <c r="G9" s="7"/>
    </row>
    <row r="10" spans="1:7" x14ac:dyDescent="0.35">
      <c r="A10" s="35" t="s">
        <v>34</v>
      </c>
      <c r="G10" s="7"/>
    </row>
    <row r="11" spans="1:7" x14ac:dyDescent="0.35">
      <c r="A11" s="35" t="s">
        <v>62</v>
      </c>
      <c r="G11" s="7"/>
    </row>
    <row r="12" spans="1:7" x14ac:dyDescent="0.35">
      <c r="A12" s="35" t="s">
        <v>36</v>
      </c>
    </row>
    <row r="13" spans="1:7" x14ac:dyDescent="0.35">
      <c r="A13" s="35" t="s">
        <v>35</v>
      </c>
      <c r="G13" s="7"/>
    </row>
    <row r="14" spans="1:7" x14ac:dyDescent="0.35">
      <c r="A14" s="35" t="s">
        <v>42</v>
      </c>
      <c r="G14" s="7"/>
    </row>
    <row r="15" spans="1:7" x14ac:dyDescent="0.35">
      <c r="A15" s="35" t="s">
        <v>66</v>
      </c>
      <c r="G15" s="7"/>
    </row>
    <row r="16" spans="1:7" x14ac:dyDescent="0.35">
      <c r="A16" s="35" t="s">
        <v>67</v>
      </c>
      <c r="G16" s="7"/>
    </row>
    <row r="17" spans="1:7" x14ac:dyDescent="0.35">
      <c r="A17" s="35" t="s">
        <v>68</v>
      </c>
      <c r="G17" s="7"/>
    </row>
    <row r="18" spans="1:7" x14ac:dyDescent="0.35">
      <c r="A18" s="35" t="s">
        <v>63</v>
      </c>
      <c r="G18" s="7"/>
    </row>
    <row r="19" spans="1:7" x14ac:dyDescent="0.35">
      <c r="A19" s="35" t="s">
        <v>40</v>
      </c>
    </row>
    <row r="20" spans="1:7" x14ac:dyDescent="0.35">
      <c r="A20" s="35" t="s">
        <v>69</v>
      </c>
    </row>
    <row r="21" spans="1:7" x14ac:dyDescent="0.35">
      <c r="A21" s="35" t="s">
        <v>70</v>
      </c>
    </row>
    <row r="22" spans="1:7" x14ac:dyDescent="0.35">
      <c r="A22" s="35" t="s">
        <v>65</v>
      </c>
      <c r="G22" s="7"/>
    </row>
    <row r="23" spans="1:7" x14ac:dyDescent="0.35">
      <c r="A23" s="35" t="s">
        <v>39</v>
      </c>
      <c r="G23" s="7"/>
    </row>
    <row r="24" spans="1:7" x14ac:dyDescent="0.35">
      <c r="A24" s="35" t="s">
        <v>64</v>
      </c>
      <c r="G24" s="7"/>
    </row>
    <row r="25" spans="1:7" x14ac:dyDescent="0.35">
      <c r="A25" s="35" t="s">
        <v>43</v>
      </c>
      <c r="G25" s="7"/>
    </row>
    <row r="26" spans="1:7" x14ac:dyDescent="0.35">
      <c r="A26" s="36"/>
    </row>
    <row r="27" spans="1:7" x14ac:dyDescent="0.35">
      <c r="A27" s="7" t="s">
        <v>71</v>
      </c>
    </row>
    <row r="28" spans="1:7" x14ac:dyDescent="0.35">
      <c r="A28" s="37" t="s">
        <v>72</v>
      </c>
    </row>
    <row r="29" spans="1:7" x14ac:dyDescent="0.35">
      <c r="A29" s="37" t="s">
        <v>73</v>
      </c>
    </row>
    <row r="30" spans="1:7" x14ac:dyDescent="0.35">
      <c r="A30" s="37" t="s">
        <v>74</v>
      </c>
    </row>
    <row r="31" spans="1:7" x14ac:dyDescent="0.35">
      <c r="A31" s="37" t="s">
        <v>34</v>
      </c>
    </row>
    <row r="32" spans="1:7" x14ac:dyDescent="0.35">
      <c r="A32" s="37" t="s">
        <v>75</v>
      </c>
    </row>
    <row r="33" spans="1:1" x14ac:dyDescent="0.35">
      <c r="A33" s="37" t="s">
        <v>76</v>
      </c>
    </row>
    <row r="34" spans="1:1" x14ac:dyDescent="0.35">
      <c r="A34" s="37" t="s">
        <v>77</v>
      </c>
    </row>
    <row r="35" spans="1:1" x14ac:dyDescent="0.35">
      <c r="A35" s="37" t="s">
        <v>78</v>
      </c>
    </row>
    <row r="36" spans="1:1" x14ac:dyDescent="0.35">
      <c r="A36" s="37" t="s">
        <v>79</v>
      </c>
    </row>
    <row r="37" spans="1:1" x14ac:dyDescent="0.35">
      <c r="A37" s="37" t="s">
        <v>80</v>
      </c>
    </row>
    <row r="38" spans="1:1" x14ac:dyDescent="0.35">
      <c r="A38" s="37" t="s">
        <v>81</v>
      </c>
    </row>
    <row r="39" spans="1:1" x14ac:dyDescent="0.35">
      <c r="A39" s="37" t="s">
        <v>82</v>
      </c>
    </row>
    <row r="40" spans="1:1" x14ac:dyDescent="0.35">
      <c r="A40" s="37" t="s">
        <v>83</v>
      </c>
    </row>
    <row r="41" spans="1:1" x14ac:dyDescent="0.35">
      <c r="A41" s="37" t="s">
        <v>37</v>
      </c>
    </row>
    <row r="42" spans="1:1" x14ac:dyDescent="0.35">
      <c r="A42" s="37" t="s">
        <v>84</v>
      </c>
    </row>
    <row r="43" spans="1:1" x14ac:dyDescent="0.35">
      <c r="A43" s="37" t="s">
        <v>85</v>
      </c>
    </row>
    <row r="44" spans="1:1" x14ac:dyDescent="0.35">
      <c r="A44" s="37" t="s">
        <v>43</v>
      </c>
    </row>
    <row r="45" spans="1:1" x14ac:dyDescent="0.35">
      <c r="A45" s="37" t="s">
        <v>86</v>
      </c>
    </row>
    <row r="46" spans="1:1" x14ac:dyDescent="0.35">
      <c r="A46" s="37" t="s">
        <v>87</v>
      </c>
    </row>
    <row r="47" spans="1:1" x14ac:dyDescent="0.35">
      <c r="A47" s="37" t="s">
        <v>88</v>
      </c>
    </row>
    <row r="48" spans="1:1" x14ac:dyDescent="0.35">
      <c r="A48" s="37" t="s">
        <v>89</v>
      </c>
    </row>
    <row r="49" spans="1:1" x14ac:dyDescent="0.35">
      <c r="A49" s="37" t="s">
        <v>90</v>
      </c>
    </row>
    <row r="50" spans="1:1" x14ac:dyDescent="0.35">
      <c r="A50" s="37" t="s">
        <v>91</v>
      </c>
    </row>
    <row r="51" spans="1:1" x14ac:dyDescent="0.35">
      <c r="A51" s="37" t="s">
        <v>92</v>
      </c>
    </row>
    <row r="52" spans="1:1" x14ac:dyDescent="0.35">
      <c r="A52" s="37" t="s">
        <v>93</v>
      </c>
    </row>
    <row r="53" spans="1:1" x14ac:dyDescent="0.35">
      <c r="A53" s="37" t="s">
        <v>94</v>
      </c>
    </row>
    <row r="54" spans="1:1" x14ac:dyDescent="0.35">
      <c r="A54" s="37" t="s">
        <v>38</v>
      </c>
    </row>
    <row r="55" spans="1:1" x14ac:dyDescent="0.35">
      <c r="A55" s="37" t="s">
        <v>95</v>
      </c>
    </row>
    <row r="56" spans="1:1" x14ac:dyDescent="0.35">
      <c r="A56" s="37" t="s">
        <v>96</v>
      </c>
    </row>
    <row r="57" spans="1:1" x14ac:dyDescent="0.35">
      <c r="A57" s="37" t="s">
        <v>97</v>
      </c>
    </row>
    <row r="58" spans="1:1" x14ac:dyDescent="0.35">
      <c r="A58" s="37" t="s">
        <v>98</v>
      </c>
    </row>
    <row r="59" spans="1:1" x14ac:dyDescent="0.35">
      <c r="A59" s="37" t="s">
        <v>99</v>
      </c>
    </row>
    <row r="60" spans="1:1" x14ac:dyDescent="0.35">
      <c r="A60" s="37" t="s">
        <v>100</v>
      </c>
    </row>
    <row r="61" spans="1:1" x14ac:dyDescent="0.35">
      <c r="A61" s="37" t="s">
        <v>101</v>
      </c>
    </row>
    <row r="62" spans="1:1" ht="16.5" customHeight="1" x14ac:dyDescent="0.35">
      <c r="A62" s="37" t="s">
        <v>102</v>
      </c>
    </row>
    <row r="63" spans="1:1" x14ac:dyDescent="0.35">
      <c r="A63" s="37" t="s">
        <v>103</v>
      </c>
    </row>
    <row r="64" spans="1:1" x14ac:dyDescent="0.35">
      <c r="A64" s="37" t="s">
        <v>104</v>
      </c>
    </row>
    <row r="65" spans="1:1" x14ac:dyDescent="0.35">
      <c r="A65" s="37" t="s">
        <v>105</v>
      </c>
    </row>
    <row r="66" spans="1:1" x14ac:dyDescent="0.35">
      <c r="A66" s="37" t="s">
        <v>106</v>
      </c>
    </row>
    <row r="67" spans="1:1" x14ac:dyDescent="0.35">
      <c r="A67" s="37" t="s">
        <v>107</v>
      </c>
    </row>
    <row r="68" spans="1:1" x14ac:dyDescent="0.35">
      <c r="A68" s="37" t="s">
        <v>108</v>
      </c>
    </row>
    <row r="69" spans="1:1" x14ac:dyDescent="0.35">
      <c r="A69" s="37" t="s">
        <v>109</v>
      </c>
    </row>
    <row r="70" spans="1:1" x14ac:dyDescent="0.35">
      <c r="A70" s="37" t="s">
        <v>110</v>
      </c>
    </row>
    <row r="71" spans="1:1" x14ac:dyDescent="0.35">
      <c r="A71" s="37" t="s">
        <v>111</v>
      </c>
    </row>
    <row r="72" spans="1:1" x14ac:dyDescent="0.35">
      <c r="A72" s="37" t="s">
        <v>112</v>
      </c>
    </row>
    <row r="73" spans="1:1" x14ac:dyDescent="0.35">
      <c r="A73" s="37" t="s">
        <v>113</v>
      </c>
    </row>
    <row r="74" spans="1:1" x14ac:dyDescent="0.35">
      <c r="A74" s="37" t="s">
        <v>114</v>
      </c>
    </row>
    <row r="75" spans="1:1" x14ac:dyDescent="0.35">
      <c r="A75" s="37" t="s">
        <v>115</v>
      </c>
    </row>
    <row r="76" spans="1:1" x14ac:dyDescent="0.35">
      <c r="A76" s="37" t="s">
        <v>116</v>
      </c>
    </row>
    <row r="77" spans="1:1" x14ac:dyDescent="0.35">
      <c r="A77" s="37" t="s">
        <v>117</v>
      </c>
    </row>
    <row r="78" spans="1:1" x14ac:dyDescent="0.35">
      <c r="A78" s="37" t="s">
        <v>118</v>
      </c>
    </row>
    <row r="79" spans="1:1" x14ac:dyDescent="0.35">
      <c r="A79" s="37" t="s">
        <v>119</v>
      </c>
    </row>
    <row r="80" spans="1:1" x14ac:dyDescent="0.35">
      <c r="A80" s="37" t="s">
        <v>120</v>
      </c>
    </row>
    <row r="81" spans="1:1" x14ac:dyDescent="0.35">
      <c r="A81" s="37" t="s">
        <v>121</v>
      </c>
    </row>
    <row r="82" spans="1:1" x14ac:dyDescent="0.35">
      <c r="A82" s="37" t="s">
        <v>122</v>
      </c>
    </row>
    <row r="83" spans="1:1" x14ac:dyDescent="0.35">
      <c r="A83" s="37" t="s">
        <v>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A4E97D-B28C-4D39-BCBD-A48C14F603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макет</vt:lpstr>
      <vt:lpstr>Легенда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2026-09-30T12:15:34Z</dcterms:modified>
</cp:coreProperties>
</file>